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브랜드명_한글사용" sheetId="1" r:id="rId4"/>
    <sheet state="visible" name="품목명_한글사용" sheetId="2" r:id="rId5"/>
    <sheet state="visible" name="창고명_한글사용" sheetId="3" r:id="rId6"/>
    <sheet state="visible" name="축종_한글사용" sheetId="4" r:id="rId7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IFERROR(__xludf.DUMMYFUNCTION("importrange(""https://docs.google.com/spreadsheets/d/1URPJEvx8LJZ_LybIiNvokUSP2e3zsyEJx9w9RDDA-lI/edit"",""[최종]브랜드명_한글사용!$A$2:$Z"")"),"44FARMS")</f>
        <v>44FARMS</v>
      </c>
      <c r="B1" s="1" t="str">
        <f>IFERROR(__xludf.DUMMYFUNCTION("""COMPUTED_VALUE"""),"44팜스")</f>
        <v>44팜스</v>
      </c>
      <c r="C1" s="1" t="str">
        <f>IFERROR(__xludf.DUMMYFUNCTION("""COMPUTED_VALUE"""),"사사팜스")</f>
        <v>사사팜스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 t="str">
        <f>IFERROR(__xludf.DUMMYFUNCTION("""COMPUTED_VALUE"""),"5STAR")</f>
        <v>5STAR</v>
      </c>
      <c r="B2" s="1" t="str">
        <f>IFERROR(__xludf.DUMMYFUNCTION("""COMPUTED_VALUE"""),"파이브스타")</f>
        <v>파이브스타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 t="str">
        <f>IFERROR(__xludf.DUMMYFUNCTION("""COMPUTED_VALUE"""),"고원돈")</f>
        <v>고원돈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 t="str">
        <f>IFERROR(__xludf.DUMMYFUNCTION("""COMPUTED_VALUE"""),"엄지돈")</f>
        <v>엄지돈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 t="str">
        <f>IFERROR(__xludf.DUMMYFUNCTION("""COMPUTED_VALUE"""),"AACO")</f>
        <v>AACO</v>
      </c>
      <c r="B5" s="1" t="str">
        <f>IFERROR(__xludf.DUMMYFUNCTION("""COMPUTED_VALUE"""),"에이에이씨오")</f>
        <v>에이에이씨오</v>
      </c>
      <c r="C5" s="1" t="str">
        <f>IFERROR(__xludf.DUMMYFUNCTION("""COMPUTED_VALUE"""),"아이에이에이씨오")</f>
        <v>아이에이에이씨오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 t="str">
        <f>IFERROR(__xludf.DUMMYFUNCTION("""COMPUTED_VALUE"""),"AASA")</f>
        <v>AASA</v>
      </c>
      <c r="B6" s="1" t="str">
        <f>IFERROR(__xludf.DUMMYFUNCTION("""COMPUTED_VALUE"""),"아싸")</f>
        <v>아싸</v>
      </c>
      <c r="C6" s="1" t="str">
        <f>IFERROR(__xludf.DUMMYFUNCTION("""COMPUTED_VALUE"""),"앗사")</f>
        <v>앗사</v>
      </c>
      <c r="D6" s="1" t="str">
        <f>IFERROR(__xludf.DUMMYFUNCTION("""COMPUTED_VALUE"""),"앗싸")</f>
        <v>앗싸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 t="str">
        <f>IFERROR(__xludf.DUMMYFUNCTION("""COMPUTED_VALUE"""),"ABBYLAND")</f>
        <v>ABBYLAND</v>
      </c>
      <c r="B7" s="1" t="str">
        <f>IFERROR(__xludf.DUMMYFUNCTION("""COMPUTED_VALUE"""),"아비랜드")</f>
        <v>아비랜드</v>
      </c>
      <c r="C7" s="1" t="str">
        <f>IFERROR(__xludf.DUMMYFUNCTION("""COMPUTED_VALUE"""),"아비렌드")</f>
        <v>아비렌드</v>
      </c>
      <c r="D7" s="1" t="str">
        <f>IFERROR(__xludf.DUMMYFUNCTION("""COMPUTED_VALUE"""),"애비렌드")</f>
        <v>애비렌드</v>
      </c>
      <c r="E7" s="1" t="str">
        <f>IFERROR(__xludf.DUMMYFUNCTION("""COMPUTED_VALUE"""),"애비랜드")</f>
        <v>애비랜드</v>
      </c>
      <c r="F7" s="1" t="str">
        <f>IFERROR(__xludf.DUMMYFUNCTION("""COMPUTED_VALUE"""),"에비렌드")</f>
        <v>에비렌드</v>
      </c>
      <c r="G7" s="1" t="str">
        <f>IFERROR(__xludf.DUMMYFUNCTION("""COMPUTED_VALUE"""),"에비랜드")</f>
        <v>에비랜드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 t="str">
        <f>IFERROR(__xludf.DUMMYFUNCTION("""COMPUTED_VALUE"""),"ABERA")</f>
        <v>ABERA</v>
      </c>
      <c r="B8" s="1" t="str">
        <f>IFERROR(__xludf.DUMMYFUNCTION("""COMPUTED_VALUE"""),"아베라")</f>
        <v>아베라</v>
      </c>
      <c r="C8" s="1" t="str">
        <f>IFERROR(__xludf.DUMMYFUNCTION("""COMPUTED_VALUE"""),"아배라")</f>
        <v>아배라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 t="str">
        <f>IFERROR(__xludf.DUMMYFUNCTION("""COMPUTED_VALUE"""),"ACADIAN")</f>
        <v>ACADIAN</v>
      </c>
      <c r="B9" s="1" t="str">
        <f>IFERROR(__xludf.DUMMYFUNCTION("""COMPUTED_VALUE"""),"아카디안")</f>
        <v>아카디안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 t="str">
        <f>IFERROR(__xludf.DUMMYFUNCTION("""COMPUTED_VALUE"""),"ACC")</f>
        <v>ACC</v>
      </c>
      <c r="B10" s="1" t="str">
        <f>IFERROR(__xludf.DUMMYFUNCTION("""COMPUTED_VALUE"""),"에이씨씨")</f>
        <v>에이씨씨</v>
      </c>
      <c r="C10" s="1" t="str">
        <f>IFERROR(__xludf.DUMMYFUNCTION("""COMPUTED_VALUE"""),"애이씨시")</f>
        <v>애이씨시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 t="str">
        <f>IFERROR(__xludf.DUMMYFUNCTION("""COMPUTED_VALUE"""),"AFFCO")</f>
        <v>AFFCO</v>
      </c>
      <c r="B11" s="1" t="str">
        <f>IFERROR(__xludf.DUMMYFUNCTION("""COMPUTED_VALUE"""),"아프코")</f>
        <v>아프코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 t="str">
        <f>IFERROR(__xludf.DUMMYFUNCTION("""COMPUTED_VALUE"""),"AFG")</f>
        <v>AFG</v>
      </c>
      <c r="B12" s="1" t="str">
        <f>IFERROR(__xludf.DUMMYFUNCTION("""COMPUTED_VALUE"""),"에이에프지")</f>
        <v>에이에프지</v>
      </c>
      <c r="C12" s="1" t="str">
        <f>IFERROR(__xludf.DUMMYFUNCTION("""COMPUTED_VALUE"""),"애이에프지")</f>
        <v>애이에프지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 t="str">
        <f>IFERROR(__xludf.DUMMYFUNCTION("""COMPUTED_VALUE"""),"AGROHANDEL")</f>
        <v>AGROHANDEL</v>
      </c>
      <c r="B13" s="1" t="str">
        <f>IFERROR(__xludf.DUMMYFUNCTION("""COMPUTED_VALUE"""),"아그로한델")</f>
        <v>아그로한델</v>
      </c>
      <c r="C13" s="1" t="str">
        <f>IFERROR(__xludf.DUMMYFUNCTION("""COMPUTED_VALUE"""),"아그로핸들")</f>
        <v>아그로핸들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 t="str">
        <f>IFERROR(__xludf.DUMMYFUNCTION("""COMPUTED_VALUE"""),"AGROMAX")</f>
        <v>AGROMAX</v>
      </c>
      <c r="B14" s="1" t="str">
        <f>IFERROR(__xludf.DUMMYFUNCTION("""COMPUTED_VALUE"""),"아그로맥스")</f>
        <v>아그로맥스</v>
      </c>
      <c r="C14" s="1" t="str">
        <f>IFERROR(__xludf.DUMMYFUNCTION("""COMPUTED_VALUE"""),"아그로멕스")</f>
        <v>아그로멕스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 t="str">
        <f>IFERROR(__xludf.DUMMYFUNCTION("""COMPUTED_VALUE"""),"AGROSUPER")</f>
        <v>AGROSUPER</v>
      </c>
      <c r="B15" s="1" t="str">
        <f>IFERROR(__xludf.DUMMYFUNCTION("""COMPUTED_VALUE"""),"아그로수퍼")</f>
        <v>아그로수퍼</v>
      </c>
      <c r="C15" s="1" t="str">
        <f>IFERROR(__xludf.DUMMYFUNCTION("""COMPUTED_VALUE"""),"아그로슈퍼")</f>
        <v>아그로슈퍼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 t="str">
        <f>IFERROR(__xludf.DUMMYFUNCTION("""COMPUTED_VALUE"""),"ALC")</f>
        <v>ALC</v>
      </c>
      <c r="B16" s="1" t="str">
        <f>IFERROR(__xludf.DUMMYFUNCTION("""COMPUTED_VALUE"""),"에이엘씨")</f>
        <v>에이엘씨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 t="str">
        <f>IFERROR(__xludf.DUMMYFUNCTION("""COMPUTED_VALUE"""),"ALEJANDRO")</f>
        <v>ALEJANDRO</v>
      </c>
      <c r="B17" s="1" t="str">
        <f>IFERROR(__xludf.DUMMYFUNCTION("""COMPUTED_VALUE"""),"알레한드로")</f>
        <v>알레한드로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 t="str">
        <f>IFERROR(__xludf.DUMMYFUNCTION("""COMPUTED_VALUE"""),"ALEXANDER")</f>
        <v>ALEXANDER</v>
      </c>
      <c r="B18" s="1" t="str">
        <f>IFERROR(__xludf.DUMMYFUNCTION("""COMPUTED_VALUE"""),"알렉산더")</f>
        <v>알렉산더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 t="str">
        <f>IFERROR(__xludf.DUMMYFUNCTION("""COMPUTED_VALUE"""),"ALLIANCE")</f>
        <v>ALLIANCE</v>
      </c>
      <c r="B19" s="1" t="str">
        <f>IFERROR(__xludf.DUMMYFUNCTION("""COMPUTED_VALUE"""),"얼라이언스")</f>
        <v>얼라이언스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 t="str">
        <f>IFERROR(__xludf.DUMMYFUNCTION("""COMPUTED_VALUE"""),"AMBASSADOR")</f>
        <v>AMBASSADOR</v>
      </c>
      <c r="B20" s="1" t="str">
        <f>IFERROR(__xludf.DUMMYFUNCTION("""COMPUTED_VALUE"""),"엠버서더")</f>
        <v>엠버서더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 t="str">
        <f>IFERROR(__xludf.DUMMYFUNCTION("""COMPUTED_VALUE"""),"AMG")</f>
        <v>AMG</v>
      </c>
      <c r="B21" s="1" t="str">
        <f>IFERROR(__xludf.DUMMYFUNCTION("""COMPUTED_VALUE"""),"에이엠지")</f>
        <v>에이엠지</v>
      </c>
      <c r="C21" s="1" t="str">
        <f>IFERROR(__xludf.DUMMYFUNCTION("""COMPUTED_VALUE"""),"에이엠쥐")</f>
        <v>에이엠쥐</v>
      </c>
      <c r="D21" s="1" t="str">
        <f>IFERROR(__xludf.DUMMYFUNCTION("""COMPUTED_VALUE"""),"에이앰쥐")</f>
        <v>에이앰쥐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 t="str">
        <f>IFERROR(__xludf.DUMMYFUNCTION("""COMPUTED_VALUE"""),"AMH")</f>
        <v>AMH</v>
      </c>
      <c r="B22" s="1" t="str">
        <f>IFERROR(__xludf.DUMMYFUNCTION("""COMPUTED_VALUE"""),"에이엠에이치")</f>
        <v>에이엠에이치</v>
      </c>
      <c r="C22" s="1" t="str">
        <f>IFERROR(__xludf.DUMMYFUNCTION("""COMPUTED_VALUE"""),"에이앰에이치")</f>
        <v>에이앰에이치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 t="str">
        <f>IFERROR(__xludf.DUMMYFUNCTION("""COMPUTED_VALUE"""),"AMP")</f>
        <v>AMP</v>
      </c>
      <c r="B23" s="1" t="str">
        <f>IFERROR(__xludf.DUMMYFUNCTION("""COMPUTED_VALUE"""),"에이엠피")</f>
        <v>에이엠피</v>
      </c>
      <c r="C23" s="1" t="str">
        <f>IFERROR(__xludf.DUMMYFUNCTION("""COMPUTED_VALUE"""),"에이앰피")</f>
        <v>에이앰피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 t="str">
        <f>IFERROR(__xludf.DUMMYFUNCTION("""COMPUTED_VALUE"""),"AMPLE")</f>
        <v>AMPLE</v>
      </c>
      <c r="B24" s="1" t="str">
        <f>IFERROR(__xludf.DUMMYFUNCTION("""COMPUTED_VALUE"""),"엠플")</f>
        <v>엠플</v>
      </c>
      <c r="C24" s="1" t="str">
        <f>IFERROR(__xludf.DUMMYFUNCTION("""COMPUTED_VALUE"""),"앰플")</f>
        <v>앰플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 t="str">
        <f>IFERROR(__xludf.DUMMYFUNCTION("""COMPUTED_VALUE"""),"ANIMEX")</f>
        <v>ANIMEX</v>
      </c>
      <c r="B25" s="1" t="str">
        <f>IFERROR(__xludf.DUMMYFUNCTION("""COMPUTED_VALUE"""),"애니멕스")</f>
        <v>애니멕스</v>
      </c>
      <c r="C25" s="1" t="str">
        <f>IFERROR(__xludf.DUMMYFUNCTION("""COMPUTED_VALUE"""),"애니맥스")</f>
        <v>애니맥스</v>
      </c>
      <c r="D25" s="1" t="str">
        <f>IFERROR(__xludf.DUMMYFUNCTION("""COMPUTED_VALUE"""),"에니맥스")</f>
        <v>에니맥스</v>
      </c>
      <c r="E25" s="1" t="str">
        <f>IFERROR(__xludf.DUMMYFUNCTION("""COMPUTED_VALUE"""),"에니멕스")</f>
        <v>에니멕스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 t="str">
        <f>IFERROR(__xludf.DUMMYFUNCTION("""COMPUTED_VALUE"""),"ANZCO")</f>
        <v>ANZCO</v>
      </c>
      <c r="B26" s="1" t="str">
        <f>IFERROR(__xludf.DUMMYFUNCTION("""COMPUTED_VALUE"""),"안즈코")</f>
        <v>안즈코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 t="str">
        <f>IFERROR(__xludf.DUMMYFUNCTION("""COMPUTED_VALUE"""),"APM")</f>
        <v>APM</v>
      </c>
      <c r="B27" s="1" t="str">
        <f>IFERROR(__xludf.DUMMYFUNCTION("""COMPUTED_VALUE"""),"에이피엠")</f>
        <v>에이피엠</v>
      </c>
      <c r="C27" s="1" t="str">
        <f>IFERROR(__xludf.DUMMYFUNCTION("""COMPUTED_VALUE"""),"에이피앰")</f>
        <v>에이피앰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 t="str">
        <f>IFERROR(__xludf.DUMMYFUNCTION("""COMPUTED_VALUE"""),"ASTA")</f>
        <v>ASTA</v>
      </c>
      <c r="B28" s="1" t="str">
        <f>IFERROR(__xludf.DUMMYFUNCTION("""COMPUTED_VALUE"""),"아스타")</f>
        <v>아스타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 t="str">
        <f>IFERROR(__xludf.DUMMYFUNCTION("""COMPUTED_VALUE"""),"ATRIA")</f>
        <v>ATRIA</v>
      </c>
      <c r="B29" s="1" t="str">
        <f>IFERROR(__xludf.DUMMYFUNCTION("""COMPUTED_VALUE"""),"아뜨리아")</f>
        <v>아뜨리아</v>
      </c>
      <c r="C29" s="1" t="str">
        <f>IFERROR(__xludf.DUMMYFUNCTION("""COMPUTED_VALUE"""),"아트리아")</f>
        <v>아트리아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 t="str">
        <f>IFERROR(__xludf.DUMMYFUNCTION("""COMPUTED_VALUE"""),"AURORA")</f>
        <v>AURORA</v>
      </c>
      <c r="B30" s="1" t="str">
        <f>IFERROR(__xludf.DUMMYFUNCTION("""COMPUTED_VALUE"""),"오로라")</f>
        <v>오로라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 t="str">
        <f>IFERROR(__xludf.DUMMYFUNCTION("""COMPUTED_VALUE"""),"AVINYO")</f>
        <v>AVINYO</v>
      </c>
      <c r="B31" s="1" t="str">
        <f>IFERROR(__xludf.DUMMYFUNCTION("""COMPUTED_VALUE"""),"아비뇨")</f>
        <v>아비뇨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 t="str">
        <f>IFERROR(__xludf.DUMMYFUNCTION("""COMPUTED_VALUE"""),"BAJA")</f>
        <v>BAJA</v>
      </c>
      <c r="B32" s="1" t="str">
        <f>IFERROR(__xludf.DUMMYFUNCTION("""COMPUTED_VALUE"""),"바하")</f>
        <v>바하</v>
      </c>
      <c r="C32" s="1" t="str">
        <f>IFERROR(__xludf.DUMMYFUNCTION("""COMPUTED_VALUE"""),"바자")</f>
        <v>바자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 t="str">
        <f>IFERROR(__xludf.DUMMYFUNCTION("""COMPUTED_VALUE"""),"BATALLE")</f>
        <v>BATALLE</v>
      </c>
      <c r="B33" s="1" t="str">
        <f>IFERROR(__xludf.DUMMYFUNCTION("""COMPUTED_VALUE"""),"바텔")</f>
        <v>바텔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 t="str">
        <f>IFERROR(__xludf.DUMMYFUNCTION("""COMPUTED_VALUE"""),"BAUCELLS")</f>
        <v>BAUCELLS</v>
      </c>
      <c r="B34" s="1" t="str">
        <f>IFERROR(__xludf.DUMMYFUNCTION("""COMPUTED_VALUE"""),"바우셀")</f>
        <v>바우셀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 t="str">
        <f>IFERROR(__xludf.DUMMYFUNCTION("""COMPUTED_VALUE"""),"B.E.CAMPBELL")</f>
        <v>B.E.CAMPBELL</v>
      </c>
      <c r="B35" s="1" t="str">
        <f>IFERROR(__xludf.DUMMYFUNCTION("""COMPUTED_VALUE"""),"비이켐벨")</f>
        <v>비이켐벨</v>
      </c>
      <c r="C35" s="1" t="str">
        <f>IFERROR(__xludf.DUMMYFUNCTION("""COMPUTED_VALUE"""),"비이캠밸")</f>
        <v>비이캠밸</v>
      </c>
      <c r="D35" s="1" t="str">
        <f>IFERROR(__xludf.DUMMYFUNCTION("""COMPUTED_VALUE"""),"비이켐밸")</f>
        <v>비이켐밸</v>
      </c>
      <c r="E35" s="1" t="str">
        <f>IFERROR(__xludf.DUMMYFUNCTION("""COMPUTED_VALUE"""),"비이캠벨")</f>
        <v>비이캠벨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 t="str">
        <f>IFERROR(__xludf.DUMMYFUNCTION("""COMPUTED_VALUE"""),"BEEFCITY")</f>
        <v>BEEFCITY</v>
      </c>
      <c r="B36" s="1" t="str">
        <f>IFERROR(__xludf.DUMMYFUNCTION("""COMPUTED_VALUE"""),"비프시티")</f>
        <v>비프시티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 t="str">
        <f>IFERROR(__xludf.DUMMYFUNCTION("""COMPUTED_VALUE"""),"BENS")</f>
        <v>BENS</v>
      </c>
      <c r="B37" s="1" t="str">
        <f>IFERROR(__xludf.DUMMYFUNCTION("""COMPUTED_VALUE"""),"벤스")</f>
        <v>벤스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 t="str">
        <f>IFERROR(__xludf.DUMMYFUNCTION("""COMPUTED_VALUE"""),"BERNARD")</f>
        <v>BERNARD</v>
      </c>
      <c r="B38" s="1" t="str">
        <f>IFERROR(__xludf.DUMMYFUNCTION("""COMPUTED_VALUE"""),"버나드")</f>
        <v>버나드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 t="str">
        <f>IFERROR(__xludf.DUMMYFUNCTION("""COMPUTED_VALUE"""),"BIGARD")</f>
        <v>BIGARD</v>
      </c>
      <c r="B39" s="1" t="str">
        <f>IFERROR(__xludf.DUMMYFUNCTION("""COMPUTED_VALUE"""),"비가드")</f>
        <v>비가드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 t="str">
        <f>IFERROR(__xludf.DUMMYFUNCTION("""COMPUTED_VALUE"""),"BINDAREE")</f>
        <v>BINDAREE</v>
      </c>
      <c r="B40" s="1" t="str">
        <f>IFERROR(__xludf.DUMMYFUNCTION("""COMPUTED_VALUE"""),"빈다리")</f>
        <v>빈다리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 t="str">
        <f>IFERROR(__xludf.DUMMYFUNCTION("""COMPUTED_VALUE"""),"BLACKONYX")</f>
        <v>BLACKONYX</v>
      </c>
      <c r="B41" s="1" t="str">
        <f>IFERROR(__xludf.DUMMYFUNCTION("""COMPUTED_VALUE"""),"블랙오닉스")</f>
        <v>블랙오닉스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 t="str">
        <f>IFERROR(__xludf.DUMMYFUNCTION("""COMPUTED_VALUE"""),"BLACKPORK")</f>
        <v>BLACKPORK</v>
      </c>
      <c r="B42" s="1" t="str">
        <f>IFERROR(__xludf.DUMMYFUNCTION("""COMPUTED_VALUE"""),"블랙포크")</f>
        <v>블랙포크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 t="str">
        <f>IFERROR(__xludf.DUMMYFUNCTION("""COMPUTED_VALUE"""),"BLUERIBBON")</f>
        <v>BLUERIBBON</v>
      </c>
      <c r="B43" s="1" t="str">
        <f>IFERROR(__xludf.DUMMYFUNCTION("""COMPUTED_VALUE"""),"블루리본")</f>
        <v>블루리본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 t="str">
        <f>IFERROR(__xludf.DUMMYFUNCTION("""COMPUTED_VALUE"""),"BONAREA")</f>
        <v>BONAREA</v>
      </c>
      <c r="B44" s="1" t="str">
        <f>IFERROR(__xludf.DUMMYFUNCTION("""COMPUTED_VALUE"""),"보나리아")</f>
        <v>보나리아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 t="str">
        <f>IFERROR(__xludf.DUMMYFUNCTION("""COMPUTED_VALUE"""),"BÖSELER")</f>
        <v>BÖSELER</v>
      </c>
      <c r="B45" s="1" t="str">
        <f>IFERROR(__xludf.DUMMYFUNCTION("""COMPUTED_VALUE"""),"베슬러")</f>
        <v>베슬러</v>
      </c>
      <c r="C45" s="1" t="str">
        <f>IFERROR(__xludf.DUMMYFUNCTION("""COMPUTED_VALUE"""),"뵈슬러")</f>
        <v>뵈슬러</v>
      </c>
      <c r="D45" s="1" t="str">
        <f>IFERROR(__xludf.DUMMYFUNCTION("""COMPUTED_VALUE"""),"보슬러")</f>
        <v>보슬러</v>
      </c>
      <c r="E45" s="1" t="str">
        <f>IFERROR(__xludf.DUMMYFUNCTION("""COMPUTED_VALUE"""),"배슬러")</f>
        <v>배슬러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 t="str">
        <f>IFERROR(__xludf.DUMMYFUNCTION("""COMPUTED_VALUE"""),"BPA")</f>
        <v>BPA</v>
      </c>
      <c r="B46" s="1" t="str">
        <f>IFERROR(__xludf.DUMMYFUNCTION("""COMPUTED_VALUE"""),"비피에이")</f>
        <v>비피에이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 t="str">
        <f>IFERROR(__xludf.DUMMYFUNCTION("""COMPUTED_VALUE"""),"BPU")</f>
        <v>BPU</v>
      </c>
      <c r="B47" s="1" t="str">
        <f>IFERROR(__xludf.DUMMYFUNCTION("""COMPUTED_VALUE"""),"비피유")</f>
        <v>비피유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 t="str">
        <f>IFERROR(__xludf.DUMMYFUNCTION("""COMPUTED_VALUE"""),"BRAWLEY")</f>
        <v>BRAWLEY</v>
      </c>
      <c r="B48" s="1" t="str">
        <f>IFERROR(__xludf.DUMMYFUNCTION("""COMPUTED_VALUE"""),"브롤리")</f>
        <v>브롤리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 t="str">
        <f>IFERROR(__xludf.DUMMYFUNCTION("""COMPUTED_VALUE"""),"BRITCO")</f>
        <v>BRITCO</v>
      </c>
      <c r="B49" s="1" t="str">
        <f>IFERROR(__xludf.DUMMYFUNCTION("""COMPUTED_VALUE"""),"브리티고")</f>
        <v>브리티고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 t="str">
        <f>IFERROR(__xludf.DUMMYFUNCTION("""COMPUTED_VALUE"""),"BRM")</f>
        <v>BRM</v>
      </c>
      <c r="B50" s="1" t="str">
        <f>IFERROR(__xludf.DUMMYFUNCTION("""COMPUTED_VALUE"""),"비알엠")</f>
        <v>비알엠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 t="str">
        <f>IFERROR(__xludf.DUMMYFUNCTION("""COMPUTED_VALUE"""),"CALIHAN")</f>
        <v>CALIHAN</v>
      </c>
      <c r="B51" s="1" t="str">
        <f>IFERROR(__xludf.DUMMYFUNCTION("""COMPUTED_VALUE"""),"칼리한")</f>
        <v>칼리한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 t="str">
        <f>IFERROR(__xludf.DUMMYFUNCTION("""COMPUTED_VALUE"""),"CAMPOFRIO")</f>
        <v>CAMPOFRIO</v>
      </c>
      <c r="B52" s="1" t="str">
        <f>IFERROR(__xludf.DUMMYFUNCTION("""COMPUTED_VALUE"""),"캄포프리오")</f>
        <v>캄포프리오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 t="str">
        <f>IFERROR(__xludf.DUMMYFUNCTION("""COMPUTED_VALUE"""),"CANTERBURY")</f>
        <v>CANTERBURY</v>
      </c>
      <c r="B53" s="1" t="str">
        <f>IFERROR(__xludf.DUMMYFUNCTION("""COMPUTED_VALUE"""),"켄터베리")</f>
        <v>켄터베리</v>
      </c>
      <c r="C53" s="1" t="str">
        <f>IFERROR(__xludf.DUMMYFUNCTION("""COMPUTED_VALUE"""),"캔터베리")</f>
        <v>캔터베리</v>
      </c>
      <c r="D53" s="1" t="str">
        <f>IFERROR(__xludf.DUMMYFUNCTION("""COMPUTED_VALUE"""),"켄터배리")</f>
        <v>켄터배리</v>
      </c>
      <c r="E53" s="1" t="str">
        <f>IFERROR(__xludf.DUMMYFUNCTION("""COMPUTED_VALUE"""),"캔터배리")</f>
        <v>캔터배리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 t="str">
        <f>IFERROR(__xludf.DUMMYFUNCTION("""COMPUTED_VALUE"""),"CARRARA")</f>
        <v>CARRARA</v>
      </c>
      <c r="B54" s="1" t="str">
        <f>IFERROR(__xludf.DUMMYFUNCTION("""COMPUTED_VALUE"""),"카라라")</f>
        <v>카라라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 t="str">
        <f>IFERROR(__xludf.DUMMYFUNCTION("""COMPUTED_VALUE"""),"CARRASCO")</f>
        <v>CARRASCO</v>
      </c>
      <c r="B55" s="1" t="str">
        <f>IFERROR(__xludf.DUMMYFUNCTION("""COMPUTED_VALUE"""),"카라스코")</f>
        <v>카라스코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 t="str">
        <f>IFERROR(__xludf.DUMMYFUNCTION("""COMPUTED_VALUE"""),"CARTESA")</f>
        <v>CARTESA</v>
      </c>
      <c r="B56" s="1" t="str">
        <f>IFERROR(__xludf.DUMMYFUNCTION("""COMPUTED_VALUE"""),"칼테사")</f>
        <v>칼테사</v>
      </c>
      <c r="C56" s="1" t="str">
        <f>IFERROR(__xludf.DUMMYFUNCTION("""COMPUTED_VALUE"""),"카르테사")</f>
        <v>카르테사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 t="str">
        <f>IFERROR(__xludf.DUMMYFUNCTION("""COMPUTED_VALUE"""),"CASEFARM")</f>
        <v>CASEFARM</v>
      </c>
      <c r="B57" s="1" t="str">
        <f>IFERROR(__xludf.DUMMYFUNCTION("""COMPUTED_VALUE"""),"케이스팜")</f>
        <v>케이스팜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 t="str">
        <f>IFERROR(__xludf.DUMMYFUNCTION("""COMPUTED_VALUE"""),"CASSINO")</f>
        <v>CASSINO</v>
      </c>
      <c r="B58" s="1" t="str">
        <f>IFERROR(__xludf.DUMMYFUNCTION("""COMPUTED_VALUE"""),"카지노")</f>
        <v>카지노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 t="str">
        <f>IFERROR(__xludf.DUMMYFUNCTION("""COMPUTED_VALUE"""),"CAVINESS")</f>
        <v>CAVINESS</v>
      </c>
      <c r="B59" s="1" t="str">
        <f>IFERROR(__xludf.DUMMYFUNCTION("""COMPUTED_VALUE"""),"카비네스")</f>
        <v>카비네스</v>
      </c>
      <c r="C59" s="1" t="str">
        <f>IFERROR(__xludf.DUMMYFUNCTION("""COMPUTED_VALUE"""),"카비니스")</f>
        <v>카비니스</v>
      </c>
      <c r="D59" s="1" t="str">
        <f>IFERROR(__xludf.DUMMYFUNCTION("""COMPUTED_VALUE"""),"캐비니스 ")</f>
        <v>캐비니스 </v>
      </c>
      <c r="E59" s="1" t="str">
        <f>IFERROR(__xludf.DUMMYFUNCTION("""COMPUTED_VALUE"""),"캐비네스")</f>
        <v>캐비네스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 t="str">
        <f>IFERROR(__xludf.DUMMYFUNCTION("""COMPUTED_VALUE"""),"CBCO")</f>
        <v>CBCO</v>
      </c>
      <c r="B60" s="1" t="str">
        <f>IFERROR(__xludf.DUMMYFUNCTION("""COMPUTED_VALUE"""),"씨비씨오")</f>
        <v>씨비씨오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 t="str">
        <f>IFERROR(__xludf.DUMMYFUNCTION("""COMPUTED_VALUE"""),"CELRA")</f>
        <v>CELRA</v>
      </c>
      <c r="B61" s="1" t="str">
        <f>IFERROR(__xludf.DUMMYFUNCTION("""COMPUTED_VALUE"""),"셀라")</f>
        <v>셀라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 t="str">
        <f>IFERROR(__xludf.DUMMYFUNCTION("""COMPUTED_VALUE"""),"CHEFSCHOICE")</f>
        <v>CHEFSCHOICE</v>
      </c>
      <c r="B62" s="1" t="str">
        <f>IFERROR(__xludf.DUMMYFUNCTION("""COMPUTED_VALUE"""),"셰프스초이스")</f>
        <v>셰프스초이스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 t="str">
        <f>IFERROR(__xludf.DUMMYFUNCTION("""COMPUTED_VALUE"""),"CHICO")</f>
        <v>CHICO</v>
      </c>
      <c r="B63" s="1" t="str">
        <f>IFERROR(__xludf.DUMMYFUNCTION("""COMPUTED_VALUE"""),"치코")</f>
        <v>치코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 t="str">
        <f>IFERROR(__xludf.DUMMYFUNCTION("""COMPUTED_VALUE"""),"CHOICEAT")</f>
        <v>CHOICEAT</v>
      </c>
      <c r="B64" s="1" t="str">
        <f>IFERROR(__xludf.DUMMYFUNCTION("""COMPUTED_VALUE"""),"초이스잇")</f>
        <v>초이스잇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 t="str">
        <f>IFERROR(__xludf.DUMMYFUNCTION("""COMPUTED_VALUE"""),"CITYFOODS")</f>
        <v>CITYFOODS</v>
      </c>
      <c r="B65" s="1" t="str">
        <f>IFERROR(__xludf.DUMMYFUNCTION("""COMPUTED_VALUE"""),"시티푸드")</f>
        <v>시티푸드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 t="str">
        <f>IFERROR(__xludf.DUMMYFUNCTION("""COMPUTED_VALUE"""),"CLAYTON'S")</f>
        <v>CLAYTON'S</v>
      </c>
      <c r="B66" s="1" t="str">
        <f>IFERROR(__xludf.DUMMYFUNCTION("""COMPUTED_VALUE"""),"클레이튼")</f>
        <v>클레이튼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 t="str">
        <f>IFERROR(__xludf.DUMMYFUNCTION("""COMPUTED_VALUE"""),"CLEMENS")</f>
        <v>CLEMENS</v>
      </c>
      <c r="B67" s="1" t="str">
        <f>IFERROR(__xludf.DUMMYFUNCTION("""COMPUTED_VALUE"""),"클레멘스")</f>
        <v>클레멘스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 t="str">
        <f>IFERROR(__xludf.DUMMYFUNCTION("""COMPUTED_VALUE"""),"CMP")</f>
        <v>CMP</v>
      </c>
      <c r="B68" s="1" t="str">
        <f>IFERROR(__xludf.DUMMYFUNCTION("""COMPUTED_VALUE"""),"씨엠피")</f>
        <v>씨엠피</v>
      </c>
      <c r="C68" s="1" t="str">
        <f>IFERROR(__xludf.DUMMYFUNCTION("""COMPUTED_VALUE"""),"씨엠피")</f>
        <v>씨엠피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 t="str">
        <f>IFERROR(__xludf.DUMMYFUNCTION("""COMPUTED_VALUE"""),"CNP")</f>
        <v>CNP</v>
      </c>
      <c r="B69" s="1" t="str">
        <f>IFERROR(__xludf.DUMMYFUNCTION("""COMPUTED_VALUE"""),"씨엔피")</f>
        <v>씨엔피</v>
      </c>
      <c r="C69" s="1" t="str">
        <f>IFERROR(__xludf.DUMMYFUNCTION("""COMPUTED_VALUE"""),"씨앤피")</f>
        <v>씨앤피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 t="str">
        <f>IFERROR(__xludf.DUMMYFUNCTION("""COMPUTED_VALUE"""),"COEXCA")</f>
        <v>COEXCA</v>
      </c>
      <c r="B70" s="1" t="str">
        <f>IFERROR(__xludf.DUMMYFUNCTION("""COMPUTED_VALUE"""),"코엑스카")</f>
        <v>코엑스카</v>
      </c>
      <c r="C70" s="1" t="str">
        <f>IFERROR(__xludf.DUMMYFUNCTION("""COMPUTED_VALUE"""),"코액스카")</f>
        <v>코액스카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 t="str">
        <f>IFERROR(__xludf.DUMMYFUNCTION("""COMPUTED_VALUE"""),"COLES")</f>
        <v>COLES</v>
      </c>
      <c r="B71" s="1" t="str">
        <f>IFERROR(__xludf.DUMMYFUNCTION("""COMPUTED_VALUE"""),"콜스")</f>
        <v>콜스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 t="str">
        <f>IFERROR(__xludf.DUMMYFUNCTION("""COMPUTED_VALUE"""),"COLLINSON")</f>
        <v>COLLINSON</v>
      </c>
      <c r="B72" s="1" t="str">
        <f>IFERROR(__xludf.DUMMYFUNCTION("""COMPUTED_VALUE"""),"콜린슨")</f>
        <v>콜린슨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 t="str">
        <f>IFERROR(__xludf.DUMMYFUNCTION("""COMPUTED_VALUE"""),"COMPAXO")</f>
        <v>COMPAXO</v>
      </c>
      <c r="B73" s="1" t="str">
        <f>IFERROR(__xludf.DUMMYFUNCTION("""COMPUTED_VALUE"""),"콤팍소")</f>
        <v>콤팍소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 t="str">
        <f>IFERROR(__xludf.DUMMYFUNCTION("""COMPUTED_VALUE"""),"CONESTOGA")</f>
        <v>CONESTOGA</v>
      </c>
      <c r="B74" s="1" t="str">
        <f>IFERROR(__xludf.DUMMYFUNCTION("""COMPUTED_VALUE"""),"코네스토가")</f>
        <v>코네스토가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 t="str">
        <f>IFERROR(__xludf.DUMMYFUNCTION("""COMPUTED_VALUE"""),"COOPERL")</f>
        <v>COOPERL</v>
      </c>
      <c r="B75" s="1" t="str">
        <f>IFERROR(__xludf.DUMMYFUNCTION("""COMPUTED_VALUE"""),"쿠펠")</f>
        <v>쿠펠</v>
      </c>
      <c r="C75" s="1" t="str">
        <f>IFERROR(__xludf.DUMMYFUNCTION("""COMPUTED_VALUE"""),"코펠")</f>
        <v>코펠</v>
      </c>
      <c r="D75" s="1" t="str">
        <f>IFERROR(__xludf.DUMMYFUNCTION("""COMPUTED_VALUE"""),"쿠펄")</f>
        <v>쿠펄</v>
      </c>
      <c r="E75" s="1" t="str">
        <f>IFERROR(__xludf.DUMMYFUNCTION("""COMPUTED_VALUE"""),"코펄")</f>
        <v>코펄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 t="str">
        <f>IFERROR(__xludf.DUMMYFUNCTION("""COMPUTED_VALUE"""),"COPACOL")</f>
        <v>COPACOL</v>
      </c>
      <c r="B76" s="1" t="str">
        <f>IFERROR(__xludf.DUMMYFUNCTION("""COMPUTED_VALUE"""),"코파콜")</f>
        <v>코파콜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 t="str">
        <f>IFERROR(__xludf.DUMMYFUNCTION("""COMPUTED_VALUE"""),"COREN")</f>
        <v>COREN</v>
      </c>
      <c r="B77" s="1" t="str">
        <f>IFERROR(__xludf.DUMMYFUNCTION("""COMPUTED_VALUE"""),"코렌")</f>
        <v>코렌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 t="str">
        <f>IFERROR(__xludf.DUMMYFUNCTION("""COMPUTED_VALUE"""),"COSTABRAVA")</f>
        <v>COSTABRAVA</v>
      </c>
      <c r="B78" s="1" t="str">
        <f>IFERROR(__xludf.DUMMYFUNCTION("""COMPUTED_VALUE"""),"코스타프라바")</f>
        <v>코스타프라바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 t="str">
        <f>IFERROR(__xludf.DUMMYFUNCTION("""COMPUTED_VALUE"""),"COSTAFOOD")</f>
        <v>COSTAFOOD</v>
      </c>
      <c r="B79" s="1" t="str">
        <f>IFERROR(__xludf.DUMMYFUNCTION("""COMPUTED_VALUE"""),"코스타푸드")</f>
        <v>코스타푸드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 t="str">
        <f>IFERROR(__xludf.DUMMYFUNCTION("""COMPUTED_VALUE"""),"CP")</f>
        <v>CP</v>
      </c>
      <c r="B80" s="1" t="str">
        <f>IFERROR(__xludf.DUMMYFUNCTION("""COMPUTED_VALUE"""),"씨피")</f>
        <v>씨피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 t="str">
        <f>IFERROR(__xludf.DUMMYFUNCTION("""COMPUTED_VALUE"""),"CREEKSTONE")</f>
        <v>CREEKSTONE</v>
      </c>
      <c r="B81" s="1" t="str">
        <f>IFERROR(__xludf.DUMMYFUNCTION("""COMPUTED_VALUE"""),"크릭스톤")</f>
        <v>크릭스톤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 t="str">
        <f>IFERROR(__xludf.DUMMYFUNCTION("""COMPUTED_VALUE"""),"CRF")</f>
        <v>CRF</v>
      </c>
      <c r="B82" s="1" t="str">
        <f>IFERROR(__xludf.DUMMYFUNCTION("""COMPUTED_VALUE"""),"씨알에프")</f>
        <v>씨알에프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 t="str">
        <f>IFERROR(__xludf.DUMMYFUNCTION("""COMPUTED_VALUE"""),"CRYSTAL")</f>
        <v>CRYSTAL</v>
      </c>
      <c r="B83" s="1" t="str">
        <f>IFERROR(__xludf.DUMMYFUNCTION("""COMPUTED_VALUE"""),"크리스탈")</f>
        <v>크리스탈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 t="str">
        <f>IFERROR(__xludf.DUMMYFUNCTION("""COMPUTED_VALUE"""),"D'ORSOGNA")</f>
        <v>D'ORSOGNA</v>
      </c>
      <c r="B84" s="1" t="str">
        <f>IFERROR(__xludf.DUMMYFUNCTION("""COMPUTED_VALUE"""),"도르소냐")</f>
        <v>도르소냐</v>
      </c>
      <c r="C84" s="1" t="str">
        <f>IFERROR(__xludf.DUMMYFUNCTION("""COMPUTED_VALUE"""),"도르소나")</f>
        <v>도르소나</v>
      </c>
      <c r="D84" s="1" t="str">
        <f>IFERROR(__xludf.DUMMYFUNCTION("""COMPUTED_VALUE"""),"돌소나")</f>
        <v>돌소나</v>
      </c>
      <c r="E84" s="1" t="str">
        <f>IFERROR(__xludf.DUMMYFUNCTION("""COMPUTED_VALUE"""),"돌소냐")</f>
        <v>돌소냐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 t="str">
        <f>IFERROR(__xludf.DUMMYFUNCTION("""COMPUTED_VALUE"""),"DACHSBERGER")</f>
        <v>DACHSBERGER</v>
      </c>
      <c r="B85" s="1" t="str">
        <f>IFERROR(__xludf.DUMMYFUNCTION("""COMPUTED_VALUE"""),"닥스버거")</f>
        <v>닥스버거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 t="str">
        <f>IFERROR(__xludf.DUMMYFUNCTION("""COMPUTED_VALUE"""),"DANISHCROWN")</f>
        <v>DANISHCROWN</v>
      </c>
      <c r="B86" s="1" t="str">
        <f>IFERROR(__xludf.DUMMYFUNCTION("""COMPUTED_VALUE"""),"데니쉬크라운")</f>
        <v>데니쉬크라운</v>
      </c>
      <c r="C86" s="1" t="str">
        <f>IFERROR(__xludf.DUMMYFUNCTION("""COMPUTED_VALUE"""),"데니시크라운")</f>
        <v>데니시크라운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 t="str">
        <f>IFERROR(__xludf.DUMMYFUNCTION("""COMPUTED_VALUE"""),"DARLINGDOWN")</f>
        <v>DARLINGDOWN</v>
      </c>
      <c r="B87" s="1" t="str">
        <f>IFERROR(__xludf.DUMMYFUNCTION("""COMPUTED_VALUE"""),"달링다운")</f>
        <v>달링다운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 t="str">
        <f>IFERROR(__xludf.DUMMYFUNCTION("""COMPUTED_VALUE"""),"DAWNMEAT")</f>
        <v>DAWNMEAT</v>
      </c>
      <c r="B88" s="1" t="str">
        <f>IFERROR(__xludf.DUMMYFUNCTION("""COMPUTED_VALUE"""),"던")</f>
        <v>던</v>
      </c>
      <c r="C88" s="1" t="str">
        <f>IFERROR(__xludf.DUMMYFUNCTION("""COMPUTED_VALUE"""),"던미트")</f>
        <v>던미트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 t="str">
        <f>IFERROR(__xludf.DUMMYFUNCTION("""COMPUTED_VALUE"""),"DEBRA")</f>
        <v>DEBRA</v>
      </c>
      <c r="B89" s="1" t="str">
        <f>IFERROR(__xludf.DUMMYFUNCTION("""COMPUTED_VALUE"""),"데브라")</f>
        <v>데브라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 t="str">
        <f>IFERROR(__xludf.DUMMYFUNCTION("""COMPUTED_VALUE"""),"DEBRECEN")</f>
        <v>DEBRECEN</v>
      </c>
      <c r="B90" s="1" t="str">
        <f>IFERROR(__xludf.DUMMYFUNCTION("""COMPUTED_VALUE"""),"데브라첸")</f>
        <v>데브라첸</v>
      </c>
      <c r="C90" s="1" t="str">
        <f>IFERROR(__xludf.DUMMYFUNCTION("""COMPUTED_VALUE"""),"데브라챈")</f>
        <v>데브라챈</v>
      </c>
      <c r="D90" s="1" t="str">
        <f>IFERROR(__xludf.DUMMYFUNCTION("""COMPUTED_VALUE"""),"대브라첸")</f>
        <v>대브라첸</v>
      </c>
      <c r="E90" s="1" t="str">
        <f>IFERROR(__xludf.DUMMYFUNCTION("""COMPUTED_VALUE"""),"대브라챈")</f>
        <v>대브라챈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 t="str">
        <f>IFERROR(__xludf.DUMMYFUNCTION("""COMPUTED_VALUE"""),"DELAVI")</f>
        <v>DELAVI</v>
      </c>
      <c r="B91" s="1" t="str">
        <f>IFERROR(__xludf.DUMMYFUNCTION("""COMPUTED_VALUE"""),"델라비")</f>
        <v>델라비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 t="str">
        <f>IFERROR(__xludf.DUMMYFUNCTION("""COMPUTED_VALUE"""),"DEMKOTA")</f>
        <v>DEMKOTA</v>
      </c>
      <c r="B92" s="1" t="str">
        <f>IFERROR(__xludf.DUMMYFUNCTION("""COMPUTED_VALUE"""),"뎀코타")</f>
        <v>뎀코타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 t="str">
        <f>IFERROR(__xludf.DUMMYFUNCTION("""COMPUTED_VALUE"""),"DESTOOP")</f>
        <v>DESTOOP</v>
      </c>
      <c r="B93" s="1" t="str">
        <f>IFERROR(__xludf.DUMMYFUNCTION("""COMPUTED_VALUE"""),"디스툽")</f>
        <v>디스툽</v>
      </c>
      <c r="C93" s="1" t="str">
        <f>IFERROR(__xludf.DUMMYFUNCTION("""COMPUTED_VALUE"""),"데스툽")</f>
        <v>데스툽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 t="str">
        <f>IFERROR(__xludf.DUMMYFUNCTION("""COMPUTED_VALUE"""),"DEWALLE")</f>
        <v>DEWALLE</v>
      </c>
      <c r="B94" s="1" t="str">
        <f>IFERROR(__xludf.DUMMYFUNCTION("""COMPUTED_VALUE"""),"드왈레")</f>
        <v>드왈레</v>
      </c>
      <c r="C94" s="1" t="str">
        <f>IFERROR(__xludf.DUMMYFUNCTION("""COMPUTED_VALUE"""),"디왈레")</f>
        <v>디왈레</v>
      </c>
      <c r="D94" s="1" t="str">
        <f>IFERROR(__xludf.DUMMYFUNCTION("""COMPUTED_VALUE"""),"디월")</f>
        <v>디월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 t="str">
        <f>IFERROR(__xludf.DUMMYFUNCTION("""COMPUTED_VALUE"""),"DIAMANTINA")</f>
        <v>DIAMANTINA</v>
      </c>
      <c r="B95" s="1" t="str">
        <f>IFERROR(__xludf.DUMMYFUNCTION("""COMPUTED_VALUE"""),"디아만티나")</f>
        <v>디아만티나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 t="str">
        <f>IFERROR(__xludf.DUMMYFUNCTION("""COMPUTED_VALUE"""),"DIAMOND")</f>
        <v>DIAMOND</v>
      </c>
      <c r="B96" s="1" t="str">
        <f>IFERROR(__xludf.DUMMYFUNCTION("""COMPUTED_VALUE"""),"다이아몬드")</f>
        <v>다이아몬드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 t="str">
        <f>IFERROR(__xludf.DUMMYFUNCTION("""COMPUTED_VALUE"""),"DNS")</f>
        <v>DNS</v>
      </c>
      <c r="B97" s="1" t="str">
        <f>IFERROR(__xludf.DUMMYFUNCTION("""COMPUTED_VALUE"""),"디엔에스")</f>
        <v>디엔에스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 t="str">
        <f>IFERROR(__xludf.DUMMYFUNCTION("""COMPUTED_VALUE"""),"DUBRETON")</f>
        <v>DUBRETON</v>
      </c>
      <c r="B98" s="1" t="str">
        <f>IFERROR(__xludf.DUMMYFUNCTION("""COMPUTED_VALUE"""),"듀브레톤")</f>
        <v>듀브레톤</v>
      </c>
      <c r="C98" s="1" t="str">
        <f>IFERROR(__xludf.DUMMYFUNCTION("""COMPUTED_VALUE"""),"듀브래톤")</f>
        <v>듀브래톤</v>
      </c>
      <c r="D98" s="1" t="str">
        <f>IFERROR(__xludf.DUMMYFUNCTION("""COMPUTED_VALUE"""),"두브레톤")</f>
        <v>두브레톤</v>
      </c>
      <c r="E98" s="1" t="str">
        <f>IFERROR(__xludf.DUMMYFUNCTION("""COMPUTED_VALUE"""),"두브래톤")</f>
        <v>두브래톤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 t="str">
        <f>IFERROR(__xludf.DUMMYFUNCTION("""COMPUTED_VALUE"""),"DUMECO")</f>
        <v>DUMECO</v>
      </c>
      <c r="B99" s="1" t="str">
        <f>IFERROR(__xludf.DUMMYFUNCTION("""COMPUTED_VALUE"""),"두메코")</f>
        <v>두메코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 t="str">
        <f>IFERROR(__xludf.DUMMYFUNCTION("""COMPUTED_VALUE"""),"ECOFRIGO")</f>
        <v>ECOFRIGO</v>
      </c>
      <c r="B100" s="1" t="str">
        <f>IFERROR(__xludf.DUMMYFUNCTION("""COMPUTED_VALUE"""),"에코프리고")</f>
        <v>에코프리고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 t="str">
        <f>IFERROR(__xludf.DUMMYFUNCTION("""COMPUTED_VALUE"""),"ECT")</f>
        <v>ECT</v>
      </c>
      <c r="B101" s="1" t="str">
        <f>IFERROR(__xludf.DUMMYFUNCTION("""COMPUTED_VALUE"""),"이씨티")</f>
        <v>이씨티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 t="str">
        <f>IFERROR(__xludf.DUMMYFUNCTION("""COMPUTED_VALUE"""),"ELNABAZO")</f>
        <v>ELNABAZO</v>
      </c>
      <c r="B102" s="1" t="str">
        <f>IFERROR(__xludf.DUMMYFUNCTION("""COMPUTED_VALUE"""),"엘나바조")</f>
        <v>엘나바조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 t="str">
        <f>IFERROR(__xludf.DUMMYFUNCTION("""COMPUTED_VALUE"""),"ELPOZO")</f>
        <v>ELPOZO</v>
      </c>
      <c r="B103" s="1" t="str">
        <f>IFERROR(__xludf.DUMMYFUNCTION("""COMPUTED_VALUE"""),"엘포조")</f>
        <v>엘포조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 t="str">
        <f>IFERROR(__xludf.DUMMYFUNCTION("""COMPUTED_VALUE"""),"EXCEL")</f>
        <v>EXCEL</v>
      </c>
      <c r="B104" s="1" t="str">
        <f>IFERROR(__xludf.DUMMYFUNCTION("""COMPUTED_VALUE"""),"엑셀")</f>
        <v>엑셀</v>
      </c>
      <c r="C104" s="1" t="str">
        <f>IFERROR(__xludf.DUMMYFUNCTION("""COMPUTED_VALUE"""),"엑샐")</f>
        <v>엑샐</v>
      </c>
      <c r="D104" s="1" t="str">
        <f>IFERROR(__xludf.DUMMYFUNCTION("""COMPUTED_VALUE"""),"액셀")</f>
        <v>액셀</v>
      </c>
      <c r="E104" s="1" t="str">
        <f>IFERROR(__xludf.DUMMYFUNCTION("""COMPUTED_VALUE"""),"액샐")</f>
        <v>액샐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 t="str">
        <f>IFERROR(__xludf.DUMMYFUNCTION("""COMPUTED_VALUE"""),"EXCEL CA")</f>
        <v>EXCEL CA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 t="str">
        <f>IFERROR(__xludf.DUMMYFUNCTION("""COMPUTED_VALUE"""),"FACCSA")</f>
        <v>FACCSA</v>
      </c>
      <c r="B106" s="1" t="str">
        <f>IFERROR(__xludf.DUMMYFUNCTION("""COMPUTED_VALUE"""),"팍사")</f>
        <v>팍사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 t="str">
        <f>IFERROR(__xludf.DUMMYFUNCTION("""COMPUTED_VALUE"""),"FAMADESA")</f>
        <v>FAMADESA</v>
      </c>
      <c r="B107" s="1" t="str">
        <f>IFERROR(__xludf.DUMMYFUNCTION("""COMPUTED_VALUE"""),"파마데사")</f>
        <v>파마데사</v>
      </c>
      <c r="C107" s="1" t="str">
        <f>IFERROR(__xludf.DUMMYFUNCTION("""COMPUTED_VALUE"""),"파마대사")</f>
        <v>파마대사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 t="str">
        <f>IFERROR(__xludf.DUMMYFUNCTION("""COMPUTED_VALUE"""),"FARMFRESH")</f>
        <v>FARMFRESH</v>
      </c>
      <c r="B108" s="1" t="str">
        <f>IFERROR(__xludf.DUMMYFUNCTION("""COMPUTED_VALUE"""),"팜프레쉬")</f>
        <v>팜프레쉬</v>
      </c>
      <c r="C108" s="1" t="str">
        <f>IFERROR(__xludf.DUMMYFUNCTION("""COMPUTED_VALUE"""),"팜프레시")</f>
        <v>팜프레시</v>
      </c>
      <c r="D108" s="1" t="str">
        <f>IFERROR(__xludf.DUMMYFUNCTION("""COMPUTED_VALUE"""),"팜프래쉬")</f>
        <v>팜프래쉬</v>
      </c>
      <c r="E108" s="1" t="str">
        <f>IFERROR(__xludf.DUMMYFUNCTION("""COMPUTED_VALUE"""),"팜프래시")</f>
        <v>팜프래시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 t="str">
        <f>IFERROR(__xludf.DUMMYFUNCTION("""COMPUTED_VALUE"""),"FARMLAND")</f>
        <v>FARMLAND</v>
      </c>
      <c r="B109" s="1" t="str">
        <f>IFERROR(__xludf.DUMMYFUNCTION("""COMPUTED_VALUE"""),"팜랜드")</f>
        <v>팜랜드</v>
      </c>
      <c r="C109" s="1" t="str">
        <f>IFERROR(__xludf.DUMMYFUNCTION("""COMPUTED_VALUE"""),"팜렌드")</f>
        <v>팜렌드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 t="str">
        <f>IFERROR(__xludf.DUMMYFUNCTION("""COMPUTED_VALUE"""),"FAYRO")</f>
        <v>FAYRO</v>
      </c>
      <c r="B110" s="1" t="str">
        <f>IFERROR(__xludf.DUMMYFUNCTION("""COMPUTED_VALUE"""),"페이로")</f>
        <v>페이로</v>
      </c>
      <c r="C110" s="1" t="str">
        <f>IFERROR(__xludf.DUMMYFUNCTION("""COMPUTED_VALUE"""),"패이로")</f>
        <v>패이로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 t="str">
        <f>IFERROR(__xludf.DUMMYFUNCTION("""COMPUTED_VALUE"""),"FIVEFOUNDERS")</f>
        <v>FIVEFOUNDERS</v>
      </c>
      <c r="B111" s="1" t="str">
        <f>IFERROR(__xludf.DUMMYFUNCTION("""COMPUTED_VALUE"""),"파이브파운더스")</f>
        <v>파이브파운더스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 t="str">
        <f>IFERROR(__xludf.DUMMYFUNCTION("""COMPUTED_VALUE"""),"FLETCHER")</f>
        <v>FLETCHER</v>
      </c>
      <c r="B112" s="1" t="str">
        <f>IFERROR(__xludf.DUMMYFUNCTION("""COMPUTED_VALUE"""),"플레처")</f>
        <v>플레처</v>
      </c>
      <c r="C112" s="1" t="str">
        <f>IFERROR(__xludf.DUMMYFUNCTION("""COMPUTED_VALUE"""),"플래처")</f>
        <v>플래처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 t="str">
        <f>IFERROR(__xludf.DUMMYFUNCTION("""COMPUTED_VALUE"""),"FRECARN")</f>
        <v>FRECARN</v>
      </c>
      <c r="B113" s="1" t="str">
        <f>IFERROR(__xludf.DUMMYFUNCTION("""COMPUTED_VALUE"""),"프레칸")</f>
        <v>프레칸</v>
      </c>
      <c r="C113" s="1" t="str">
        <f>IFERROR(__xludf.DUMMYFUNCTION("""COMPUTED_VALUE"""),"프래칸")</f>
        <v>프래칸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 t="str">
        <f>IFERROR(__xludf.DUMMYFUNCTION("""COMPUTED_VALUE"""),"FREMONT")</f>
        <v>FREMONT</v>
      </c>
      <c r="B114" s="1" t="str">
        <f>IFERROR(__xludf.DUMMYFUNCTION("""COMPUTED_VALUE"""),"프리몬트")</f>
        <v>프리몬트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 t="str">
        <f>IFERROR(__xludf.DUMMYFUNCTION("""COMPUTED_VALUE"""),"FRIBIN")</f>
        <v>FRIBIN</v>
      </c>
      <c r="B115" s="1" t="str">
        <f>IFERROR(__xludf.DUMMYFUNCTION("""COMPUTED_VALUE"""),"프리빈")</f>
        <v>프리빈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 t="str">
        <f>IFERROR(__xludf.DUMMYFUNCTION("""COMPUTED_VALUE"""),"FRIGO")</f>
        <v>FRIGO</v>
      </c>
      <c r="B116" s="1" t="str">
        <f>IFERROR(__xludf.DUMMYFUNCTION("""COMPUTED_VALUE"""),"프리고")</f>
        <v>프리고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 t="str">
        <f>IFERROR(__xludf.DUMMYFUNCTION("""COMPUTED_VALUE"""),"FRIGOSORNO")</f>
        <v>FRIGOSORNO</v>
      </c>
      <c r="B117" s="1" t="str">
        <f>IFERROR(__xludf.DUMMYFUNCTION("""COMPUTED_VALUE"""),"프리고소르노")</f>
        <v>프리고소르노</v>
      </c>
      <c r="C117" s="1" t="str">
        <f>IFERROR(__xludf.DUMMYFUNCTION("""COMPUTED_VALUE"""),"프리고소노")</f>
        <v>프리고소노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 t="str">
        <f>IFERROR(__xludf.DUMMYFUNCTION("""COMPUTED_VALUE"""),"FRIOSA")</f>
        <v>FRIOSA</v>
      </c>
      <c r="B118" s="1" t="str">
        <f>IFERROR(__xludf.DUMMYFUNCTION("""COMPUTED_VALUE"""),"프리오사")</f>
        <v>프리오사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 t="str">
        <f>IFERROR(__xludf.DUMMYFUNCTION("""COMPUTED_VALUE"""),"FRISELVA")</f>
        <v>FRISELVA</v>
      </c>
      <c r="B119" s="1" t="str">
        <f>IFERROR(__xludf.DUMMYFUNCTION("""COMPUTED_VALUE"""),"프리셀바")</f>
        <v>프리셀바</v>
      </c>
      <c r="C119" s="1" t="str">
        <f>IFERROR(__xludf.DUMMYFUNCTION("""COMPUTED_VALUE"""),"프리샐바")</f>
        <v>프리샐바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 t="str">
        <f>IFERROR(__xludf.DUMMYFUNCTION("""COMPUTED_VALUE"""),"FRIUSA")</f>
        <v>FRIUSA</v>
      </c>
      <c r="B120" s="1" t="str">
        <f>IFERROR(__xludf.DUMMYFUNCTION("""COMPUTED_VALUE"""),"프리우사")</f>
        <v>프리우사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 t="str">
        <f>IFERROR(__xludf.DUMMYFUNCTION("""COMPUTED_VALUE"""),"FRIVALL")</f>
        <v>FRIVALL</v>
      </c>
      <c r="B121" s="1" t="str">
        <f>IFERROR(__xludf.DUMMYFUNCTION("""COMPUTED_VALUE"""),"프리발")</f>
        <v>프리발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 t="str">
        <f>IFERROR(__xludf.DUMMYFUNCTION("""COMPUTED_VALUE"""),"FRONTIER")</f>
        <v>FRONTIER</v>
      </c>
      <c r="B122" s="1" t="str">
        <f>IFERROR(__xludf.DUMMYFUNCTION("""COMPUTED_VALUE"""),"프론티어")</f>
        <v>프론티어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 t="str">
        <f>IFERROR(__xludf.DUMMYFUNCTION("""COMPUTED_VALUE"""),"GAD")</f>
        <v>GAD</v>
      </c>
      <c r="B123" s="1" t="str">
        <f>IFERROR(__xludf.DUMMYFUNCTION("""COMPUTED_VALUE"""),"가드")</f>
        <v>가드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 t="str">
        <f>IFERROR(__xludf.DUMMYFUNCTION("""COMPUTED_VALUE"""),"GARCIA")</f>
        <v>GARCIA</v>
      </c>
      <c r="B124" s="1" t="str">
        <f>IFERROR(__xludf.DUMMYFUNCTION("""COMPUTED_VALUE"""),"가르시아")</f>
        <v>가르시아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 t="str">
        <f>IFERROR(__xludf.DUMMYFUNCTION("""COMPUTED_VALUE"""),"GATINE")</f>
        <v>GATINE</v>
      </c>
      <c r="B125" s="1" t="str">
        <f>IFERROR(__xludf.DUMMYFUNCTION("""COMPUTED_VALUE"""),"가틴")</f>
        <v>가틴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 t="str">
        <f>IFERROR(__xludf.DUMMYFUNCTION("""COMPUTED_VALUE"""),"GBP")</f>
        <v>GBP</v>
      </c>
      <c r="B126" s="1" t="str">
        <f>IFERROR(__xludf.DUMMYFUNCTION("""COMPUTED_VALUE"""),"지비피")</f>
        <v>지비피</v>
      </c>
      <c r="C126" s="1" t="str">
        <f>IFERROR(__xludf.DUMMYFUNCTION("""COMPUTED_VALUE"""),"쥐비피")</f>
        <v>쥐비피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 t="str">
        <f>IFERROR(__xludf.DUMMYFUNCTION("""COMPUTED_VALUE"""),"GCM")</f>
        <v>GCM</v>
      </c>
      <c r="B127" s="1" t="str">
        <f>IFERROR(__xludf.DUMMYFUNCTION("""COMPUTED_VALUE"""),"지씨엠")</f>
        <v>지씨엠</v>
      </c>
      <c r="C127" s="1" t="str">
        <f>IFERROR(__xludf.DUMMYFUNCTION("""COMPUTED_VALUE"""),"지씨앰")</f>
        <v>지씨앰</v>
      </c>
      <c r="D127" s="1" t="str">
        <f>IFERROR(__xludf.DUMMYFUNCTION("""COMPUTED_VALUE"""),"쥐씨엠")</f>
        <v>쥐씨엠</v>
      </c>
      <c r="E127" s="1" t="str">
        <f>IFERROR(__xludf.DUMMYFUNCTION("""COMPUTED_VALUE"""),"쥐씨앰")</f>
        <v>쥐씨앰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 t="str">
        <f>IFERROR(__xludf.DUMMYFUNCTION("""COMPUTED_VALUE"""),"GIFFAUD")</f>
        <v>GIFFAUD</v>
      </c>
      <c r="B128" s="1" t="str">
        <f>IFERROR(__xludf.DUMMYFUNCTION("""COMPUTED_VALUE"""),"기포드")</f>
        <v>기포드</v>
      </c>
      <c r="C128" s="1" t="str">
        <f>IFERROR(__xludf.DUMMYFUNCTION("""COMPUTED_VALUE"""),"기파우드")</f>
        <v>기파우드</v>
      </c>
      <c r="D128" s="1" t="str">
        <f>IFERROR(__xludf.DUMMYFUNCTION("""COMPUTED_VALUE"""),"지포드")</f>
        <v>지포드</v>
      </c>
      <c r="E128" s="1" t="str">
        <f>IFERROR(__xludf.DUMMYFUNCTION("""COMPUTED_VALUE"""),"지파우드")</f>
        <v>지파우드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 t="str">
        <f>IFERROR(__xludf.DUMMYFUNCTION("""COMPUTED_VALUE"""),"GLASSHOUSE")</f>
        <v>GLASSHOUSE</v>
      </c>
      <c r="B129" s="1" t="str">
        <f>IFERROR(__xludf.DUMMYFUNCTION("""COMPUTED_VALUE"""),"글래스하우스")</f>
        <v>글래스하우스</v>
      </c>
      <c r="C129" s="1" t="str">
        <f>IFERROR(__xludf.DUMMYFUNCTION("""COMPUTED_VALUE"""),"글라스하우스")</f>
        <v>글라스하우스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 t="str">
        <f>IFERROR(__xludf.DUMMYFUNCTION("""COMPUTED_VALUE"""),"GNC")</f>
        <v>GNC</v>
      </c>
      <c r="B130" s="1" t="str">
        <f>IFERROR(__xludf.DUMMYFUNCTION("""COMPUTED_VALUE"""),"지엔씨")</f>
        <v>지엔씨</v>
      </c>
      <c r="C130" s="1" t="str">
        <f>IFERROR(__xludf.DUMMYFUNCTION("""COMPUTED_VALUE"""),"지앤씨")</f>
        <v>지앤씨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 t="str">
        <f>IFERROR(__xludf.DUMMYFUNCTION("""COMPUTED_VALUE"""),"GOLDSCHMAUS")</f>
        <v>GOLDSCHMAUS</v>
      </c>
      <c r="B131" s="1" t="str">
        <f>IFERROR(__xludf.DUMMYFUNCTION("""COMPUTED_VALUE"""),"골드슈마우스")</f>
        <v>골드슈마우스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 t="str">
        <f>IFERROR(__xludf.DUMMYFUNCTION("""COMPUTED_VALUE"""),"GOLDSCHUMACHER")</f>
        <v>GOLDSCHUMACHER</v>
      </c>
      <c r="B132" s="1" t="str">
        <f>IFERROR(__xludf.DUMMYFUNCTION("""COMPUTED_VALUE"""),"골드슈마허")</f>
        <v>골드슈마허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 t="str">
        <f>IFERROR(__xludf.DUMMYFUNCTION("""COMPUTED_VALUE"""),"GRANJERO")</f>
        <v>GRANJERO</v>
      </c>
      <c r="B133" s="1" t="str">
        <f>IFERROR(__xludf.DUMMYFUNCTION("""COMPUTED_VALUE"""),"그랑헤로")</f>
        <v>그랑헤로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 t="str">
        <f>IFERROR(__xludf.DUMMYFUNCTION("""COMPUTED_VALUE"""),"GREENHAM")</f>
        <v>GREENHAM</v>
      </c>
      <c r="B134" s="1" t="str">
        <f>IFERROR(__xludf.DUMMYFUNCTION("""COMPUTED_VALUE"""),"그린햄")</f>
        <v>그린햄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 t="str">
        <f>IFERROR(__xludf.DUMMYFUNCTION("""COMPUTED_VALUE"""),"GREENLEA")</f>
        <v>GREENLEA</v>
      </c>
      <c r="B135" s="1" t="str">
        <f>IFERROR(__xludf.DUMMYFUNCTION("""COMPUTED_VALUE"""),"그리니아")</f>
        <v>그리니아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 t="str">
        <f>IFERROR(__xludf.DUMMYFUNCTION("""COMPUTED_VALUE"""),"GREENMOUNTAIN")</f>
        <v>GREENMOUNTAIN</v>
      </c>
      <c r="B136" s="1" t="str">
        <f>IFERROR(__xludf.DUMMYFUNCTION("""COMPUTED_VALUE"""),"그린마운틴")</f>
        <v>그린마운틴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 t="str">
        <f>IFERROR(__xludf.DUMMYFUNCTION("""COMPUTED_VALUE"""),"GREENPORK")</f>
        <v>GREENPORK</v>
      </c>
      <c r="B137" s="1" t="str">
        <f>IFERROR(__xludf.DUMMYFUNCTION("""COMPUTED_VALUE"""),"그린포크")</f>
        <v>그린포크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 t="str">
        <f>IFERROR(__xludf.DUMMYFUNCTION("""COMPUTED_VALUE"""),"GROSSFURTNER")</f>
        <v>GROSSFURTNER</v>
      </c>
      <c r="B138" s="1" t="str">
        <f>IFERROR(__xludf.DUMMYFUNCTION("""COMPUTED_VALUE"""),"그로스푸트너")</f>
        <v>그로스푸트너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 t="str">
        <f>IFERROR(__xludf.DUMMYFUNCTION("""COMPUTED_VALUE"""),"GUISSONA")</f>
        <v>GUISSONA</v>
      </c>
      <c r="B139" s="1" t="str">
        <f>IFERROR(__xludf.DUMMYFUNCTION("""COMPUTED_VALUE"""),"귀소나")</f>
        <v>귀소나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 t="str">
        <f>IFERROR(__xludf.DUMMYFUNCTION("""COMPUTED_VALUE"""),"GULDFAGELN")</f>
        <v>GULDFAGELN</v>
      </c>
      <c r="B140" s="1" t="str">
        <f>IFERROR(__xludf.DUMMYFUNCTION("""COMPUTED_VALUE"""),"굴드파겔른")</f>
        <v>굴드파겔른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 t="str">
        <f>IFERROR(__xludf.DUMMYFUNCTION("""COMPUTED_VALUE"""),"GUSI")</f>
        <v>GUSI</v>
      </c>
      <c r="B141" s="1" t="str">
        <f>IFERROR(__xludf.DUMMYFUNCTION("""COMPUTED_VALUE"""),"구씨")</f>
        <v>구씨</v>
      </c>
      <c r="C141" s="1" t="str">
        <f>IFERROR(__xludf.DUMMYFUNCTION("""COMPUTED_VALUE"""),"구시")</f>
        <v>구시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 t="str">
        <f>IFERROR(__xludf.DUMMYFUNCTION("""COMPUTED_VALUE"""),"HANDLBAUER")</f>
        <v>HANDLBAUER</v>
      </c>
      <c r="B142" s="1" t="str">
        <f>IFERROR(__xludf.DUMMYFUNCTION("""COMPUTED_VALUE"""),"핸들바우어")</f>
        <v>핸들바우어</v>
      </c>
      <c r="C142" s="1" t="str">
        <f>IFERROR(__xludf.DUMMYFUNCTION("""COMPUTED_VALUE"""),"한들바우어")</f>
        <v>한들바우어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 t="str">
        <f>IFERROR(__xludf.DUMMYFUNCTION("""COMPUTED_VALUE"""),"HARDWICKS")</f>
        <v>HARDWICKS</v>
      </c>
      <c r="B143" s="1" t="str">
        <f>IFERROR(__xludf.DUMMYFUNCTION("""COMPUTED_VALUE"""),"하드윅")</f>
        <v>하드윅</v>
      </c>
      <c r="C143" s="1" t="str">
        <f>IFERROR(__xludf.DUMMYFUNCTION("""COMPUTED_VALUE"""),"하드윅스")</f>
        <v>하드윅스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 t="str">
        <f>IFERROR(__xludf.DUMMYFUNCTION("""COMPUTED_VALUE"""),"HARMONYBEEF")</f>
        <v>HARMONYBEEF</v>
      </c>
      <c r="B144" s="1" t="str">
        <f>IFERROR(__xludf.DUMMYFUNCTION("""COMPUTED_VALUE"""),"하모니비프")</f>
        <v>하모니비프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 t="str">
        <f>IFERROR(__xludf.DUMMYFUNCTION("""COMPUTED_VALUE"""),"HARRISRANCH")</f>
        <v>HARRISRANCH</v>
      </c>
      <c r="B145" s="1" t="str">
        <f>IFERROR(__xludf.DUMMYFUNCTION("""COMPUTED_VALUE"""),"해리스랜치")</f>
        <v>해리스랜치</v>
      </c>
      <c r="C145" s="1" t="str">
        <f>IFERROR(__xludf.DUMMYFUNCTION("""COMPUTED_VALUE"""),"해리스렌치")</f>
        <v>해리스렌치</v>
      </c>
      <c r="D145" s="1" t="str">
        <f>IFERROR(__xludf.DUMMYFUNCTION("""COMPUTED_VALUE"""),"헤리스랜치")</f>
        <v>헤리스랜치</v>
      </c>
      <c r="E145" s="1" t="str">
        <f>IFERROR(__xludf.DUMMYFUNCTION("""COMPUTED_VALUE"""),"해리스랜치")</f>
        <v>해리스랜치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 t="str">
        <f>IFERROR(__xludf.DUMMYFUNCTION("""COMPUTED_VALUE"""),"HARVEY")</f>
        <v>HARVEY</v>
      </c>
      <c r="B146" s="1" t="str">
        <f>IFERROR(__xludf.DUMMYFUNCTION("""COMPUTED_VALUE"""),"하비")</f>
        <v>하비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 t="str">
        <f>IFERROR(__xludf.DUMMYFUNCTION("""COMPUTED_VALUE"""),"HATFIELD")</f>
        <v>HATFIELD</v>
      </c>
      <c r="B147" s="1" t="str">
        <f>IFERROR(__xludf.DUMMYFUNCTION("""COMPUTED_VALUE"""),"핫필드")</f>
        <v>핫필드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 t="str">
        <f>IFERROR(__xludf.DUMMYFUNCTION("""COMPUTED_VALUE"""),"HELLABY")</f>
        <v>HELLABY</v>
      </c>
      <c r="B148" s="1" t="str">
        <f>IFERROR(__xludf.DUMMYFUNCTION("""COMPUTED_VALUE"""),"헬라비")</f>
        <v>헬라비</v>
      </c>
      <c r="C148" s="1" t="str">
        <f>IFERROR(__xludf.DUMMYFUNCTION("""COMPUTED_VALUE"""),"핼라비")</f>
        <v>핼라비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 t="str">
        <f>IFERROR(__xludf.DUMMYFUNCTION("""COMPUTED_VALUE"""),"HIGHMOUNTAIN")</f>
        <v>HIGHMOUNTAIN</v>
      </c>
      <c r="B149" s="1" t="str">
        <f>IFERROR(__xludf.DUMMYFUNCTION("""COMPUTED_VALUE"""),"하이마운틴")</f>
        <v>하이마운틴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 t="str">
        <f>IFERROR(__xludf.DUMMYFUNCTION("""COMPUTED_VALUE"""),"HILLSIDE")</f>
        <v>HILLSIDE</v>
      </c>
      <c r="B150" s="1" t="str">
        <f>IFERROR(__xludf.DUMMYFUNCTION("""COMPUTED_VALUE"""),"힐사이드")</f>
        <v>힐사이드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 t="str">
        <f>IFERROR(__xludf.DUMMYFUNCTION("""COMPUTED_VALUE"""),"HILLTOP")</f>
        <v>HILLTOP</v>
      </c>
      <c r="B151" s="1" t="str">
        <f>IFERROR(__xludf.DUMMYFUNCTION("""COMPUTED_VALUE"""),"힐탑")</f>
        <v>힐탑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 t="str">
        <f>IFERROR(__xludf.DUMMYFUNCTION("""COMPUTED_VALUE"""),"HORMEL")</f>
        <v>HORMEL</v>
      </c>
      <c r="B152" s="1" t="str">
        <f>IFERROR(__xludf.DUMMYFUNCTION("""COMPUTED_VALUE"""),"호멜")</f>
        <v>호멜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 t="str">
        <f>IFERROR(__xludf.DUMMYFUNCTION("""COMPUTED_VALUE"""),"HUNTERVALLEY")</f>
        <v>HUNTERVALLEY</v>
      </c>
      <c r="B153" s="1" t="str">
        <f>IFERROR(__xludf.DUMMYFUNCTION("""COMPUTED_VALUE"""),"헌터벨리")</f>
        <v>헌터벨리</v>
      </c>
      <c r="C153" s="1" t="str">
        <f>IFERROR(__xludf.DUMMYFUNCTION("""COMPUTED_VALUE"""),"헌터밸리")</f>
        <v>헌터밸리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 t="str">
        <f>IFERROR(__xludf.DUMMYFUNCTION("""COMPUTED_VALUE"""),"HYLIFE")</f>
        <v>HYLIFE</v>
      </c>
      <c r="B154" s="1" t="str">
        <f>IFERROR(__xludf.DUMMYFUNCTION("""COMPUTED_VALUE"""),"하이라이프")</f>
        <v>하이라이프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 t="str">
        <f>IFERROR(__xludf.DUMMYFUNCTION("""COMPUTED_VALUE"""),"IBP")</f>
        <v>IBP</v>
      </c>
      <c r="B155" s="1" t="str">
        <f>IFERROR(__xludf.DUMMYFUNCTION("""COMPUTED_VALUE"""),"아이비피")</f>
        <v>아이비피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 t="str">
        <f>IFERROR(__xludf.DUMMYFUNCTION("""COMPUTED_VALUE"""),"ICP")</f>
        <v>ICP</v>
      </c>
      <c r="B156" s="1" t="str">
        <f>IFERROR(__xludf.DUMMYFUNCTION("""COMPUTED_VALUE"""),"아이씨피")</f>
        <v>아이씨피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 t="str">
        <f>IFERROR(__xludf.DUMMYFUNCTION("""COMPUTED_VALUE"""),"IFT")</f>
        <v>IFT</v>
      </c>
      <c r="B157" s="1" t="str">
        <f>IFERROR(__xludf.DUMMYFUNCTION("""COMPUTED_VALUE"""),"아이에프티")</f>
        <v>아이에프티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 t="str">
        <f>IFERROR(__xludf.DUMMYFUNCTION("""COMPUTED_VALUE"""),"IMACSA")</f>
        <v>IMACSA</v>
      </c>
      <c r="B158" s="1" t="str">
        <f>IFERROR(__xludf.DUMMYFUNCTION("""COMPUTED_VALUE"""),"이막사")</f>
        <v>이막사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 t="str">
        <f>IFERROR(__xludf.DUMMYFUNCTION("""COMPUTED_VALUE"""),"INCARLOPSA")</f>
        <v>INCARLOPSA</v>
      </c>
      <c r="B159" s="1" t="str">
        <f>IFERROR(__xludf.DUMMYFUNCTION("""COMPUTED_VALUE"""),"잉카롭사")</f>
        <v>잉카롭사</v>
      </c>
      <c r="C159" s="1" t="str">
        <f>IFERROR(__xludf.DUMMYFUNCTION("""COMPUTED_VALUE"""),"인카롭사")</f>
        <v>인카롭사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 t="str">
        <f>IFERROR(__xludf.DUMMYFUNCTION("""COMPUTED_VALUE"""),"INDIANA")</f>
        <v>INDIANA</v>
      </c>
      <c r="B160" s="1" t="str">
        <f>IFERROR(__xludf.DUMMYFUNCTION("""COMPUTED_VALUE"""),"인디아나")</f>
        <v>인디아나</v>
      </c>
      <c r="C160" s="1" t="str">
        <f>IFERROR(__xludf.DUMMYFUNCTION("""COMPUTED_VALUE"""),"인디애나")</f>
        <v>인디애나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 t="str">
        <f>IFERROR(__xludf.DUMMYFUNCTION("""COMPUTED_VALUE"""),"INTERGAN")</f>
        <v>INTERGAN</v>
      </c>
      <c r="B161" s="1" t="str">
        <f>IFERROR(__xludf.DUMMYFUNCTION("""COMPUTED_VALUE"""),"인터간")</f>
        <v>인터간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 t="str">
        <f>IFERROR(__xludf.DUMMYFUNCTION("""COMPUTED_VALUE"""),"IOWA")</f>
        <v>IOWA</v>
      </c>
      <c r="B162" s="1" t="str">
        <f>IFERROR(__xludf.DUMMYFUNCTION("""COMPUTED_VALUE"""),"아이오와")</f>
        <v>아이오와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 t="str">
        <f>IFERROR(__xludf.DUMMYFUNCTION("""COMPUTED_VALUE"""),"IZIDORO")</f>
        <v>IZIDORO</v>
      </c>
      <c r="B163" s="1" t="str">
        <f>IFERROR(__xludf.DUMMYFUNCTION("""COMPUTED_VALUE"""),"이지도로")</f>
        <v>이지도로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 t="str">
        <f>IFERROR(__xludf.DUMMYFUNCTION("""COMPUTED_VALUE"""),"JACK'S CREEK")</f>
        <v>JACK'S CREEK</v>
      </c>
      <c r="B164" s="1" t="str">
        <f>IFERROR(__xludf.DUMMYFUNCTION("""COMPUTED_VALUE"""),"잭스크릭")</f>
        <v>잭스크릭</v>
      </c>
      <c r="C164" s="1" t="str">
        <f>IFERROR(__xludf.DUMMYFUNCTION("""COMPUTED_VALUE"""),"잭크릭")</f>
        <v>잭크릭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 t="str">
        <f>IFERROR(__xludf.DUMMYFUNCTION("""COMPUTED_VALUE"""),"JBS")</f>
        <v>JBS</v>
      </c>
      <c r="B165" s="1" t="str">
        <f>IFERROR(__xludf.DUMMYFUNCTION("""COMPUTED_VALUE"""),"제이비에스")</f>
        <v>제이비에스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 t="str">
        <f>IFERROR(__xludf.DUMMYFUNCTION("""COMPUTED_VALUE"""),"JOHNDEE")</f>
        <v>JOHNDEE</v>
      </c>
      <c r="B166" s="1" t="str">
        <f>IFERROR(__xludf.DUMMYFUNCTION("""COMPUTED_VALUE"""),"존디")</f>
        <v>존디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 t="str">
        <f>IFERROR(__xludf.DUMMYFUNCTION("""COMPUTED_VALUE"""),"JOHNSONVILLE")</f>
        <v>JOHNSONVILLE</v>
      </c>
      <c r="B167" s="1" t="str">
        <f>IFERROR(__xludf.DUMMYFUNCTION("""COMPUTED_VALUE"""),"존슨빌")</f>
        <v>존슨빌</v>
      </c>
      <c r="C167" s="1" t="str">
        <f>IFERROR(__xludf.DUMMYFUNCTION("""COMPUTED_VALUE"""),"잔슨빌")</f>
        <v>잔슨빌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 t="str">
        <f>IFERROR(__xludf.DUMMYFUNCTION("""COMPUTED_VALUE"""),"JPA")</f>
        <v>JPA</v>
      </c>
      <c r="B168" s="1" t="str">
        <f>IFERROR(__xludf.DUMMYFUNCTION("""COMPUTED_VALUE"""),"제이피에이")</f>
        <v>제이피에이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 t="str">
        <f>IFERROR(__xludf.DUMMYFUNCTION("""COMPUTED_VALUE"""),"JUIA")</f>
        <v>JUIA</v>
      </c>
      <c r="B169" s="1" t="str">
        <f>IFERROR(__xludf.DUMMYFUNCTION("""COMPUTED_VALUE"""),"주이아")</f>
        <v>주이아</v>
      </c>
      <c r="C169" s="1" t="str">
        <f>IFERROR(__xludf.DUMMYFUNCTION("""COMPUTED_VALUE"""),"쥬이아")</f>
        <v>쥬이아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 t="str">
        <f>IFERROR(__xludf.DUMMYFUNCTION("""COMPUTED_VALUE"""),"JUNEE")</f>
        <v>JUNEE</v>
      </c>
      <c r="B170" s="1" t="str">
        <f>IFERROR(__xludf.DUMMYFUNCTION("""COMPUTED_VALUE"""),"주니")</f>
        <v>주니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 t="str">
        <f>IFERROR(__xludf.DUMMYFUNCTION("""COMPUTED_VALUE"""),"K2")</f>
        <v>K2</v>
      </c>
      <c r="B171" s="1" t="str">
        <f>IFERROR(__xludf.DUMMYFUNCTION("""COMPUTED_VALUE"""),"케이투")</f>
        <v>케이투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 t="str">
        <f>IFERROR(__xludf.DUMMYFUNCTION("""COMPUTED_VALUE"""),"KANE")</f>
        <v>KANE</v>
      </c>
      <c r="B172" s="1" t="str">
        <f>IFERROR(__xludf.DUMMYFUNCTION("""COMPUTED_VALUE"""),"케인")</f>
        <v>케인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 t="str">
        <f>IFERROR(__xludf.DUMMYFUNCTION("""COMPUTED_VALUE"""),"KEKEN")</f>
        <v>KEKEN</v>
      </c>
      <c r="B173" s="1" t="str">
        <f>IFERROR(__xludf.DUMMYFUNCTION("""COMPUTED_VALUE"""),"케켄")</f>
        <v>케켄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 t="str">
        <f>IFERROR(__xludf.DUMMYFUNCTION("""COMPUTED_VALUE"""),"KERMENE")</f>
        <v>KERMENE</v>
      </c>
      <c r="B174" s="1" t="str">
        <f>IFERROR(__xludf.DUMMYFUNCTION("""COMPUTED_VALUE"""),"케르멘")</f>
        <v>케르멘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 t="str">
        <f>IFERROR(__xludf.DUMMYFUNCTION("""COMPUTED_VALUE"""),"KILCOY")</f>
        <v>KILCOY</v>
      </c>
      <c r="B175" s="1" t="str">
        <f>IFERROR(__xludf.DUMMYFUNCTION("""COMPUTED_VALUE"""),"킬코이")</f>
        <v>킬코이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 t="str">
        <f>IFERROR(__xludf.DUMMYFUNCTION("""COMPUTED_VALUE"""),"KINITON")</f>
        <v>KINITON</v>
      </c>
      <c r="B176" s="1" t="str">
        <f>IFERROR(__xludf.DUMMYFUNCTION("""COMPUTED_VALUE"""),"키니톤")</f>
        <v>키니톤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 t="str">
        <f>IFERROR(__xludf.DUMMYFUNCTION("""COMPUTED_VALUE"""),"KOBE")</f>
        <v>KOBE</v>
      </c>
      <c r="B177" s="1" t="str">
        <f>IFERROR(__xludf.DUMMYFUNCTION("""COMPUTED_VALUE"""),"고베")</f>
        <v>고베</v>
      </c>
      <c r="C177" s="1" t="str">
        <f>IFERROR(__xludf.DUMMYFUNCTION("""COMPUTED_VALUE"""),"코베")</f>
        <v>코베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 t="str">
        <f>IFERROR(__xludf.DUMMYFUNCTION("""COMPUTED_VALUE"""),"KRONFAGEL")</f>
        <v>KRONFAGEL</v>
      </c>
      <c r="B178" s="1" t="str">
        <f>IFERROR(__xludf.DUMMYFUNCTION("""COMPUTED_VALUE"""),"크론파겔")</f>
        <v>크론파겔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 t="str">
        <f>IFERROR(__xludf.DUMMYFUNCTION("""COMPUTED_VALUE"""),"L'GROW")</f>
        <v>L'GROW</v>
      </c>
      <c r="B179" s="1" t="str">
        <f>IFERROR(__xludf.DUMMYFUNCTION("""COMPUTED_VALUE"""),"엘그로우")</f>
        <v>엘그로우</v>
      </c>
      <c r="C179" s="1" t="str">
        <f>IFERROR(__xludf.DUMMYFUNCTION("""COMPUTED_VALUE"""),"앨그로우")</f>
        <v>앨그로우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 t="str">
        <f>IFERROR(__xludf.DUMMYFUNCTION("""COMPUTED_VALUE"""),"LA ANONIMA")</f>
        <v>LA ANONIMA</v>
      </c>
      <c r="B180" s="1" t="str">
        <f>IFERROR(__xludf.DUMMYFUNCTION("""COMPUTED_VALUE"""),"라아노니마")</f>
        <v>라아노니마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 t="str">
        <f>IFERROR(__xludf.DUMMYFUNCTION("""COMPUTED_VALUE"""),"LAEMTHONG")</f>
        <v>LAEMTHONG</v>
      </c>
      <c r="B181" s="1" t="str">
        <f>IFERROR(__xludf.DUMMYFUNCTION("""COMPUTED_VALUE"""),"램통")</f>
        <v>램통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 t="str">
        <f>IFERROR(__xludf.DUMMYFUNCTION("""COMPUTED_VALUE"""),"LANDMEAT")</f>
        <v>LANDMEAT</v>
      </c>
      <c r="B182" s="1" t="str">
        <f>IFERROR(__xludf.DUMMYFUNCTION("""COMPUTED_VALUE"""),"랜드미트")</f>
        <v>랜드미트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 t="str">
        <f>IFERROR(__xludf.DUMMYFUNCTION("""COMPUTED_VALUE"""),"LAR")</f>
        <v>LAR</v>
      </c>
      <c r="B183" s="1" t="str">
        <f>IFERROR(__xludf.DUMMYFUNCTION("""COMPUTED_VALUE"""),"라")</f>
        <v>라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 t="str">
        <f>IFERROR(__xludf.DUMMYFUNCTION("""COMPUTED_VALUE"""),"LITERA")</f>
        <v>LITERA</v>
      </c>
      <c r="B184" s="1" t="str">
        <f>IFERROR(__xludf.DUMMYFUNCTION("""COMPUTED_VALUE"""),"리테라")</f>
        <v>리테라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 t="str">
        <f>IFERROR(__xludf.DUMMYFUNCTION("""COMPUTED_VALUE"""),"LIVALEA")</f>
        <v>LIVALEA</v>
      </c>
      <c r="B185" s="1" t="str">
        <f>IFERROR(__xludf.DUMMYFUNCTION("""COMPUTED_VALUE"""),"리빌리아")</f>
        <v>리빌리아</v>
      </c>
      <c r="C185" s="1" t="str">
        <f>IFERROR(__xludf.DUMMYFUNCTION("""COMPUTED_VALUE"""),"리발레아")</f>
        <v>리발레아</v>
      </c>
      <c r="D185" s="1" t="str">
        <f>IFERROR(__xludf.DUMMYFUNCTION("""COMPUTED_VALUE"""),"리발리아")</f>
        <v>리발리아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 t="str">
        <f>IFERROR(__xludf.DUMMYFUNCTION("""COMPUTED_VALUE"""),"LOCKS")</f>
        <v>LOCKS</v>
      </c>
      <c r="B186" s="1" t="str">
        <f>IFERROR(__xludf.DUMMYFUNCTION("""COMPUTED_VALUE"""),"럭스")</f>
        <v>럭스</v>
      </c>
      <c r="C186" s="1" t="str">
        <f>IFERROR(__xludf.DUMMYFUNCTION("""COMPUTED_VALUE"""),"록스")</f>
        <v>록스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 t="str">
        <f>IFERROR(__xludf.DUMMYFUNCTION("""COMPUTED_VALUE"""),"LOCKYERVALLEY")</f>
        <v>LOCKYERVALLEY</v>
      </c>
      <c r="B187" s="1" t="str">
        <f>IFERROR(__xludf.DUMMYFUNCTION("""COMPUTED_VALUE"""),"락커밸리")</f>
        <v>락커밸리</v>
      </c>
      <c r="C187" s="1" t="str">
        <f>IFERROR(__xludf.DUMMYFUNCTION("""COMPUTED_VALUE"""),"락커벨리")</f>
        <v>락커벨리</v>
      </c>
      <c r="D187" s="1" t="str">
        <f>IFERROR(__xludf.DUMMYFUNCTION("""COMPUTED_VALUE"""),"로키어밸리")</f>
        <v>로키어밸리</v>
      </c>
      <c r="E187" s="1" t="str">
        <f>IFERROR(__xludf.DUMMYFUNCTION("""COMPUTED_VALUE"""),"로키어벨리")</f>
        <v>로키어벨리</v>
      </c>
      <c r="F187" s="1" t="str">
        <f>IFERROR(__xludf.DUMMYFUNCTION("""COMPUTED_VALUE"""),"라커벨리")</f>
        <v>라커벨리</v>
      </c>
      <c r="G187" s="1" t="str">
        <f>IFERROR(__xludf.DUMMYFUNCTION("""COMPUTED_VALUE"""),"라커밸리")</f>
        <v>라커밸리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 t="str">
        <f>IFERROR(__xludf.DUMMYFUNCTION("""COMPUTED_VALUE"""),"LUCYPORC")</f>
        <v>LUCYPORC</v>
      </c>
      <c r="B188" s="1" t="str">
        <f>IFERROR(__xludf.DUMMYFUNCTION("""COMPUTED_VALUE"""),"루시포크")</f>
        <v>루시포크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 t="str">
        <f>IFERROR(__xludf.DUMMYFUNCTION("""COMPUTED_VALUE"""),"MACOBA")</f>
        <v>MACOBA</v>
      </c>
      <c r="B189" s="1" t="str">
        <f>IFERROR(__xludf.DUMMYFUNCTION("""COMPUTED_VALUE"""),"마코바")</f>
        <v>마코바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 t="str">
        <f>IFERROR(__xludf.DUMMYFUNCTION("""COMPUTED_VALUE"""),"MAFRESA")</f>
        <v>MAFRESA</v>
      </c>
      <c r="B190" s="1" t="str">
        <f>IFERROR(__xludf.DUMMYFUNCTION("""COMPUTED_VALUE"""),"마프리사")</f>
        <v>마프리사</v>
      </c>
      <c r="C190" s="1" t="str">
        <f>IFERROR(__xludf.DUMMYFUNCTION("""COMPUTED_VALUE"""),"마프레사")</f>
        <v>마프레사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 t="str">
        <f>IFERROR(__xludf.DUMMYFUNCTION("""COMPUTED_VALUE"""),"MAFRIGES")</f>
        <v>MAFRIGES</v>
      </c>
      <c r="B191" s="1" t="str">
        <f>IFERROR(__xludf.DUMMYFUNCTION("""COMPUTED_VALUE"""),"마프리제스")</f>
        <v>마프리제스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 t="str">
        <f>IFERROR(__xludf.DUMMYFUNCTION("""COMPUTED_VALUE"""),"MAFRISUR")</f>
        <v>MAFRISUR</v>
      </c>
      <c r="B192" s="1" t="str">
        <f>IFERROR(__xludf.DUMMYFUNCTION("""COMPUTED_VALUE"""),"마프리서")</f>
        <v>마프리서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 t="str">
        <f>IFERROR(__xludf.DUMMYFUNCTION("""COMPUTED_VALUE"""),"MAGUISA")</f>
        <v>MAGUISA</v>
      </c>
      <c r="B193" s="1" t="str">
        <f>IFERROR(__xludf.DUMMYFUNCTION("""COMPUTED_VALUE"""),"마귀사")</f>
        <v>마귀사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 t="str">
        <f>IFERROR(__xludf.DUMMYFUNCTION("""COMPUTED_VALUE"""),"MAPLE")</f>
        <v>MAPLE</v>
      </c>
      <c r="B194" s="1" t="str">
        <f>IFERROR(__xludf.DUMMYFUNCTION("""COMPUTED_VALUE"""),"메이플")</f>
        <v>메이플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 t="str">
        <f>IFERROR(__xludf.DUMMYFUNCTION("""COMPUTED_VALUE"""),"MARCHER")</f>
        <v>MARCHER</v>
      </c>
      <c r="B195" s="1" t="str">
        <f>IFERROR(__xludf.DUMMYFUNCTION("""COMPUTED_VALUE"""),"마처")</f>
        <v>마처</v>
      </c>
      <c r="C195" s="1" t="str">
        <f>IFERROR(__xludf.DUMMYFUNCTION("""COMPUTED_VALUE"""),"마쳐")</f>
        <v>마쳐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 t="str">
        <f>IFERROR(__xludf.DUMMYFUNCTION("""COMPUTED_VALUE"""),"MARFRIG")</f>
        <v>MARFRIG</v>
      </c>
      <c r="B196" s="1" t="str">
        <f>IFERROR(__xludf.DUMMYFUNCTION("""COMPUTED_VALUE"""),"마프리그")</f>
        <v>마프리그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 t="str">
        <f>IFERROR(__xludf.DUMMYFUNCTION("""COMPUTED_VALUE"""),"MARGARETRIVER")</f>
        <v>MARGARETRIVER</v>
      </c>
      <c r="B197" s="1" t="str">
        <f>IFERROR(__xludf.DUMMYFUNCTION("""COMPUTED_VALUE"""),"마가렛리버")</f>
        <v>마가렛리버</v>
      </c>
      <c r="C197" s="1" t="str">
        <f>IFERROR(__xludf.DUMMYFUNCTION("""COMPUTED_VALUE"""),"마가랫리버")</f>
        <v>마가랫리버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 t="str">
        <f>IFERROR(__xludf.DUMMYFUNCTION("""COMPUTED_VALUE"""),"MATADERO")</f>
        <v>MATADERO</v>
      </c>
      <c r="B198" s="1" t="str">
        <f>IFERROR(__xludf.DUMMYFUNCTION("""COMPUTED_VALUE"""),"마타데로")</f>
        <v>마타데로</v>
      </c>
      <c r="C198" s="1" t="str">
        <f>IFERROR(__xludf.DUMMYFUNCTION("""COMPUTED_VALUE"""),"마타대로")</f>
        <v>마타대로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 t="str">
        <f>IFERROR(__xludf.DUMMYFUNCTION("""COMPUTED_VALUE"""),"MAXAGRO")</f>
        <v>MAXAGRO</v>
      </c>
      <c r="B199" s="1" t="str">
        <f>IFERROR(__xludf.DUMMYFUNCTION("""COMPUTED_VALUE"""),"맥스아그로")</f>
        <v>맥스아그로</v>
      </c>
      <c r="C199" s="1" t="str">
        <f>IFERROR(__xludf.DUMMYFUNCTION("""COMPUTED_VALUE"""),"멕스아그로")</f>
        <v>멕스아그로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 t="str">
        <f>IFERROR(__xludf.DUMMYFUNCTION("""COMPUTED_VALUE"""),"McCARREN")</f>
        <v>McCARREN</v>
      </c>
      <c r="B200" s="1" t="str">
        <f>IFERROR(__xludf.DUMMYFUNCTION("""COMPUTED_VALUE"""),"맥카렌")</f>
        <v>맥카렌</v>
      </c>
      <c r="C200" s="1" t="str">
        <f>IFERROR(__xludf.DUMMYFUNCTION("""COMPUTED_VALUE"""),"멕카렌")</f>
        <v>멕카렌</v>
      </c>
      <c r="D200" s="1" t="str">
        <f>IFERROR(__xludf.DUMMYFUNCTION("""COMPUTED_VALUE"""),"맥카랜")</f>
        <v>맥카랜</v>
      </c>
      <c r="E200" s="1" t="str">
        <f>IFERROR(__xludf.DUMMYFUNCTION("""COMPUTED_VALUE"""),"맥카렌")</f>
        <v>맥카렌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 t="str">
        <f>IFERROR(__xludf.DUMMYFUNCTION("""COMPUTED_VALUE"""),"MCHERD")</f>
        <v>MCHERD</v>
      </c>
      <c r="B201" s="1" t="str">
        <f>IFERROR(__xludf.DUMMYFUNCTION("""COMPUTED_VALUE"""),"엠씨허드")</f>
        <v>엠씨허드</v>
      </c>
      <c r="C201" s="1" t="str">
        <f>IFERROR(__xludf.DUMMYFUNCTION("""COMPUTED_VALUE"""),"앰씨허드")</f>
        <v>앰씨허드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 t="str">
        <f>IFERROR(__xludf.DUMMYFUNCTION("""COMPUTED_VALUE"""),"McKINLEY")</f>
        <v>McKINLEY</v>
      </c>
      <c r="B202" s="1" t="str">
        <f>IFERROR(__xludf.DUMMYFUNCTION("""COMPUTED_VALUE"""),"맥킨리")</f>
        <v>맥킨리</v>
      </c>
      <c r="C202" s="1" t="str">
        <f>IFERROR(__xludf.DUMMYFUNCTION("""COMPUTED_VALUE"""),"멕킨리")</f>
        <v>멕킨리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 t="str">
        <f>IFERROR(__xludf.DUMMYFUNCTION("""COMPUTED_VALUE"""),"McPHEE")</f>
        <v>McPHEE</v>
      </c>
      <c r="B203" s="1" t="str">
        <f>IFERROR(__xludf.DUMMYFUNCTION("""COMPUTED_VALUE"""),"맥피")</f>
        <v>맥피</v>
      </c>
      <c r="C203" s="1" t="str">
        <f>IFERROR(__xludf.DUMMYFUNCTION("""COMPUTED_VALUE"""),"멕피")</f>
        <v>멕피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 t="str">
        <f>IFERROR(__xludf.DUMMYFUNCTION("""COMPUTED_VALUE"""),"MERAMIST")</f>
        <v>MERAMIST</v>
      </c>
      <c r="B204" s="1" t="str">
        <f>IFERROR(__xludf.DUMMYFUNCTION("""COMPUTED_VALUE"""),"메라미스트")</f>
        <v>메라미스트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 t="str">
        <f>IFERROR(__xludf.DUMMYFUNCTION("""COMPUTED_VALUE"""),"MEYER")</f>
        <v>MEYER</v>
      </c>
      <c r="B205" s="1" t="str">
        <f>IFERROR(__xludf.DUMMYFUNCTION("""COMPUTED_VALUE"""),"마이어")</f>
        <v>마이어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 t="str">
        <f>IFERROR(__xludf.DUMMYFUNCTION("""COMPUTED_VALUE"""),"MIDFIELD")</f>
        <v>MIDFIELD</v>
      </c>
      <c r="B206" s="1" t="str">
        <f>IFERROR(__xludf.DUMMYFUNCTION("""COMPUTED_VALUE"""),"미드필드")</f>
        <v>미드필드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 t="str">
        <f>IFERROR(__xludf.DUMMYFUNCTION("""COMPUTED_VALUE"""),"MONBEEF")</f>
        <v>MONBEEF</v>
      </c>
      <c r="B207" s="1" t="str">
        <f>IFERROR(__xludf.DUMMYFUNCTION("""COMPUTED_VALUE"""),"몬비프")</f>
        <v>몬비프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 t="str">
        <f>IFERROR(__xludf.DUMMYFUNCTION("""COMPUTED_VALUE"""),"MONTENEVADO")</f>
        <v>MONTENEVADO</v>
      </c>
      <c r="B208" s="1" t="str">
        <f>IFERROR(__xludf.DUMMYFUNCTION("""COMPUTED_VALUE"""),"몬테네바도")</f>
        <v>몬테네바도</v>
      </c>
      <c r="C208" s="1" t="str">
        <f>IFERROR(__xludf.DUMMYFUNCTION("""COMPUTED_VALUE"""),"몬테내바도")</f>
        <v>몬테내바도</v>
      </c>
      <c r="D208" s="1" t="str">
        <f>IFERROR(__xludf.DUMMYFUNCTION("""COMPUTED_VALUE"""),"몬태네바도")</f>
        <v>몬태네바도</v>
      </c>
      <c r="E208" s="1" t="str">
        <f>IFERROR(__xludf.DUMMYFUNCTION("""COMPUTED_VALUE"""),"몬태내바도")</f>
        <v>몬태내바도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 t="str">
        <f>IFERROR(__xludf.DUMMYFUNCTION("""COMPUTED_VALUE"""),"MONTESANO")</f>
        <v>MONTESANO</v>
      </c>
      <c r="B209" s="1" t="str">
        <f>IFERROR(__xludf.DUMMYFUNCTION("""COMPUTED_VALUE"""),"몬테사노")</f>
        <v>몬테사노</v>
      </c>
      <c r="C209" s="1" t="str">
        <f>IFERROR(__xludf.DUMMYFUNCTION("""COMPUTED_VALUE"""),"몬태사노")</f>
        <v>몬태사노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 t="str">
        <f>IFERROR(__xludf.DUMMYFUNCTION("""COMPUTED_VALUE"""),"MONTRONILL")</f>
        <v>MONTRONILL</v>
      </c>
      <c r="B210" s="1" t="str">
        <f>IFERROR(__xludf.DUMMYFUNCTION("""COMPUTED_VALUE"""),"몬트로닐")</f>
        <v>몬트로닐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 t="str">
        <f>IFERROR(__xludf.DUMMYFUNCTION("""COMPUTED_VALUE"""),"Mr.BLACK")</f>
        <v>Mr.BLACK</v>
      </c>
      <c r="B211" s="1" t="str">
        <f>IFERROR(__xludf.DUMMYFUNCTION("""COMPUTED_VALUE"""),"미스터블랙")</f>
        <v>미스터블랙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 t="str">
        <f>IFERROR(__xludf.DUMMYFUNCTION("""COMPUTED_VALUE"""),"MÜELLER")</f>
        <v>MÜELLER</v>
      </c>
      <c r="B212" s="1" t="str">
        <f>IFERROR(__xludf.DUMMYFUNCTION("""COMPUTED_VALUE"""),"뮬러")</f>
        <v>뮬러</v>
      </c>
      <c r="C212" s="1" t="str">
        <f>IFERROR(__xludf.DUMMYFUNCTION("""COMPUTED_VALUE"""),"물러")</f>
        <v>물러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 t="str">
        <f>IFERROR(__xludf.DUMMYFUNCTION("""COMPUTED_VALUE"""),"MURRAYPURE")</f>
        <v>MURRAYPURE</v>
      </c>
      <c r="B213" s="1" t="str">
        <f>IFERROR(__xludf.DUMMYFUNCTION("""COMPUTED_VALUE"""),"머레이퓨어")</f>
        <v>머레이퓨어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 t="str">
        <f>IFERROR(__xludf.DUMMYFUNCTION("""COMPUTED_VALUE"""),"NATIONAL")</f>
        <v>NATIONAL</v>
      </c>
      <c r="B214" s="1" t="str">
        <f>IFERROR(__xludf.DUMMYFUNCTION("""COMPUTED_VALUE"""),"내쇼날")</f>
        <v>내쇼날</v>
      </c>
      <c r="C214" s="1" t="str">
        <f>IFERROR(__xludf.DUMMYFUNCTION("""COMPUTED_VALUE"""),"네쇼날")</f>
        <v>네쇼날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 t="str">
        <f>IFERROR(__xludf.DUMMYFUNCTION("""COMPUTED_VALUE"""),"NATURAL")</f>
        <v>NATURAL</v>
      </c>
      <c r="B215" s="1" t="str">
        <f>IFERROR(__xludf.DUMMYFUNCTION("""COMPUTED_VALUE"""),"네추럴")</f>
        <v>네추럴</v>
      </c>
      <c r="C215" s="1" t="str">
        <f>IFERROR(__xludf.DUMMYFUNCTION("""COMPUTED_VALUE"""),"네츄럴")</f>
        <v>네츄럴</v>
      </c>
      <c r="D215" s="1" t="str">
        <f>IFERROR(__xludf.DUMMYFUNCTION("""COMPUTED_VALUE"""),"내추럴")</f>
        <v>내추럴</v>
      </c>
      <c r="E215" s="1" t="str">
        <f>IFERROR(__xludf.DUMMYFUNCTION("""COMPUTED_VALUE"""),"내츄럴")</f>
        <v>내츄럴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 t="str">
        <f>IFERROR(__xludf.DUMMYFUNCTION("""COMPUTED_VALUE"""),"NB")</f>
        <v>NB</v>
      </c>
      <c r="B216" s="1" t="str">
        <f>IFERROR(__xludf.DUMMYFUNCTION("""COMPUTED_VALUE"""),"엔비")</f>
        <v>엔비</v>
      </c>
      <c r="C216" s="1" t="str">
        <f>IFERROR(__xludf.DUMMYFUNCTION("""COMPUTED_VALUE"""),"앤비")</f>
        <v>앤비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 t="str">
        <f>IFERROR(__xludf.DUMMYFUNCTION("""COMPUTED_VALUE"""),"NBP")</f>
        <v>NBP</v>
      </c>
      <c r="B217" s="1" t="str">
        <f>IFERROR(__xludf.DUMMYFUNCTION("""COMPUTED_VALUE"""),"엔비피")</f>
        <v>엔비피</v>
      </c>
      <c r="C217" s="1" t="str">
        <f>IFERROR(__xludf.DUMMYFUNCTION("""COMPUTED_VALUE"""),"앤비피")</f>
        <v>앤비피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 t="str">
        <f>IFERROR(__xludf.DUMMYFUNCTION("""COMPUTED_VALUE"""),"NEBRASKA")</f>
        <v>NEBRASKA</v>
      </c>
      <c r="B218" s="1" t="str">
        <f>IFERROR(__xludf.DUMMYFUNCTION("""COMPUTED_VALUE"""),"네브라스카")</f>
        <v>네브라스카</v>
      </c>
      <c r="C218" s="1" t="str">
        <f>IFERROR(__xludf.DUMMYFUNCTION("""COMPUTED_VALUE"""),"내브라스카")</f>
        <v>내브라스카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 t="str">
        <f>IFERROR(__xludf.DUMMYFUNCTION("""COMPUTED_VALUE"""),"NOLAN")</f>
        <v>NOLAN</v>
      </c>
      <c r="B219" s="1" t="str">
        <f>IFERROR(__xludf.DUMMYFUNCTION("""COMPUTED_VALUE"""),"놀란")</f>
        <v>놀란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 t="str">
        <f>IFERROR(__xludf.DUMMYFUNCTION("""COMPUTED_VALUE"""),"NORSON")</f>
        <v>NORSON</v>
      </c>
      <c r="B220" s="1" t="str">
        <f>IFERROR(__xludf.DUMMYFUNCTION("""COMPUTED_VALUE"""),"놀슨")</f>
        <v>놀슨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 t="str">
        <f>IFERROR(__xludf.DUMMYFUNCTION("""COMPUTED_VALUE"""),"NORTHRIVER")</f>
        <v>NORTHRIVER</v>
      </c>
      <c r="B221" s="1" t="str">
        <f>IFERROR(__xludf.DUMMYFUNCTION("""COMPUTED_VALUE"""),"노스리버")</f>
        <v>노스리버</v>
      </c>
      <c r="C221" s="1" t="str">
        <f>IFERROR(__xludf.DUMMYFUNCTION("""COMPUTED_VALUE"""),"N. RIVER")</f>
        <v>N. RIVER</v>
      </c>
      <c r="D221" s="1" t="str">
        <f>IFERROR(__xludf.DUMMYFUNCTION("""COMPUTED_VALUE"""),"N.RIVER")</f>
        <v>N.RIVER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 t="str">
        <f>IFERROR(__xludf.DUMMYFUNCTION("""COMPUTED_VALUE"""),"O'CONNOR")</f>
        <v>O'CONNOR</v>
      </c>
      <c r="B222" s="1" t="str">
        <f>IFERROR(__xludf.DUMMYFUNCTION("""COMPUTED_VALUE"""),"오코너")</f>
        <v>오코너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 t="str">
        <f>IFERROR(__xludf.DUMMYFUNCTION("""COMPUTED_VALUE"""),"OAKEY")</f>
        <v>OAKEY</v>
      </c>
      <c r="B223" s="1" t="str">
        <f>IFERROR(__xludf.DUMMYFUNCTION("""COMPUTED_VALUE"""),"오키")</f>
        <v>오키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 t="str">
        <f>IFERROR(__xludf.DUMMYFUNCTION("""COMPUTED_VALUE"""),"OJAI")</f>
        <v>OJAI</v>
      </c>
      <c r="B224" s="1" t="str">
        <f>IFERROR(__xludf.DUMMYFUNCTION("""COMPUTED_VALUE"""),"오하이")</f>
        <v>오하이</v>
      </c>
      <c r="C224" s="1" t="str">
        <f>IFERROR(__xludf.DUMMYFUNCTION("""COMPUTED_VALUE"""),"오자이")</f>
        <v>오자이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 t="str">
        <f>IFERROR(__xludf.DUMMYFUNCTION("""COMPUTED_VALUE"""),"OLLA")</f>
        <v>OLLA</v>
      </c>
      <c r="B225" s="1" t="str">
        <f>IFERROR(__xludf.DUMMYFUNCTION("""COMPUTED_VALUE"""),"올라")</f>
        <v>올라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 t="str">
        <f>IFERROR(__xludf.DUMMYFUNCTION("""COMPUTED_VALUE"""),"OLYMEL")</f>
        <v>OLYMEL</v>
      </c>
      <c r="B226" s="1" t="str">
        <f>IFERROR(__xludf.DUMMYFUNCTION("""COMPUTED_VALUE"""),"올리멜")</f>
        <v>올리멜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 t="str">
        <f>IFERROR(__xludf.DUMMYFUNCTION("""COMPUTED_VALUE"""),"OMAHA")</f>
        <v>OMAHA</v>
      </c>
      <c r="B227" s="1" t="str">
        <f>IFERROR(__xludf.DUMMYFUNCTION("""COMPUTED_VALUE"""),"오마하")</f>
        <v>오마하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 t="str">
        <f>IFERROR(__xludf.DUMMYFUNCTION("""COMPUTED_VALUE"""),"OMC")</f>
        <v>OMC</v>
      </c>
      <c r="B228" s="1" t="str">
        <f>IFERROR(__xludf.DUMMYFUNCTION("""COMPUTED_VALUE"""),"오엠씨")</f>
        <v>오엠씨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 t="str">
        <f>IFERROR(__xludf.DUMMYFUNCTION("""COMPUTED_VALUE"""),"OMEGA")</f>
        <v>OMEGA</v>
      </c>
      <c r="B229" s="1" t="str">
        <f>IFERROR(__xludf.DUMMYFUNCTION("""COMPUTED_VALUE"""),"오메가")</f>
        <v>오메가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 t="str">
        <f>IFERROR(__xludf.DUMMYFUNCTION("""COMPUTED_VALUE"""),"ORBIGO")</f>
        <v>ORBIGO</v>
      </c>
      <c r="B230" s="1" t="str">
        <f>IFERROR(__xludf.DUMMYFUNCTION("""COMPUTED_VALUE"""),"오르비고")</f>
        <v>오르비고</v>
      </c>
      <c r="C230" s="1" t="str">
        <f>IFERROR(__xludf.DUMMYFUNCTION("""COMPUTED_VALUE"""),"오비고")</f>
        <v>오비고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 t="str">
        <f>IFERROR(__xludf.DUMMYFUNCTION("""COMPUTED_VALUE"""),"OSMEAT")</f>
        <v>OSMEAT</v>
      </c>
      <c r="B231" s="1" t="str">
        <f>IFERROR(__xludf.DUMMYFUNCTION("""COMPUTED_VALUE"""),"오에스미트")</f>
        <v>오에스미트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 t="str">
        <f>IFERROR(__xludf.DUMMYFUNCTION("""COMPUTED_VALUE"""),"OZNATURE")</f>
        <v>OZNATURE</v>
      </c>
      <c r="B232" s="1" t="str">
        <f>IFERROR(__xludf.DUMMYFUNCTION("""COMPUTED_VALUE"""),"오즈네이처")</f>
        <v>오즈네이처</v>
      </c>
      <c r="C232" s="1" t="str">
        <f>IFERROR(__xludf.DUMMYFUNCTION("""COMPUTED_VALUE"""),"오즈네이쳐")</f>
        <v>오즈네이쳐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 t="str">
        <f>IFERROR(__xludf.DUMMYFUNCTION("""COMPUTED_VALUE"""),"PACKERLAND")</f>
        <v>PACKERLAND</v>
      </c>
      <c r="B233" s="1" t="str">
        <f>IFERROR(__xludf.DUMMYFUNCTION("""COMPUTED_VALUE"""),"패커랜드")</f>
        <v>패커랜드</v>
      </c>
      <c r="C233" s="1" t="str">
        <f>IFERROR(__xludf.DUMMYFUNCTION("""COMPUTED_VALUE"""),"페커랜드")</f>
        <v>페커랜드</v>
      </c>
      <c r="D233" s="1" t="str">
        <f>IFERROR(__xludf.DUMMYFUNCTION("""COMPUTED_VALUE"""),"패커랜드")</f>
        <v>패커랜드</v>
      </c>
      <c r="E233" s="1" t="str">
        <f>IFERROR(__xludf.DUMMYFUNCTION("""COMPUTED_VALUE"""),"패커렌드")</f>
        <v>패커렌드</v>
      </c>
      <c r="F233" s="1" t="str">
        <f>IFERROR(__xludf.DUMMYFUNCTION("""COMPUTED_VALUE"""),"팩커랜드")</f>
        <v>팩커랜드</v>
      </c>
      <c r="G233" s="1" t="str">
        <f>IFERROR(__xludf.DUMMYFUNCTION("""COMPUTED_VALUE"""),"펙커랜드")</f>
        <v>펙커랜드</v>
      </c>
      <c r="H233" s="1" t="str">
        <f>IFERROR(__xludf.DUMMYFUNCTION("""COMPUTED_VALUE"""),"팩커렌드")</f>
        <v>팩커렌드</v>
      </c>
      <c r="I233" s="1" t="str">
        <f>IFERROR(__xludf.DUMMYFUNCTION("""COMPUTED_VALUE"""),"펙커렌드")</f>
        <v>펙커렌드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 t="str">
        <f>IFERROR(__xludf.DUMMYFUNCTION("""COMPUTED_VALUE"""),"PALI")</f>
        <v>PALI</v>
      </c>
      <c r="B234" s="1" t="str">
        <f>IFERROR(__xludf.DUMMYFUNCTION("""COMPUTED_VALUE"""),"팔리")</f>
        <v>팔리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 t="str">
        <f>IFERROR(__xludf.DUMMYFUNCTION("""COMPUTED_VALUE"""),"PAMPLONA")</f>
        <v>PAMPLONA</v>
      </c>
      <c r="B235" s="1" t="str">
        <f>IFERROR(__xludf.DUMMYFUNCTION("""COMPUTED_VALUE"""),"팜플로나")</f>
        <v>팜플로나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 t="str">
        <f>IFERROR(__xludf.DUMMYFUNCTION("""COMPUTED_VALUE"""),"PATEL")</f>
        <v>PATEL</v>
      </c>
      <c r="B236" s="1" t="str">
        <f>IFERROR(__xludf.DUMMYFUNCTION("""COMPUTED_VALUE"""),"파텔")</f>
        <v>파텔</v>
      </c>
      <c r="C236" s="1" t="str">
        <f>IFERROR(__xludf.DUMMYFUNCTION("""COMPUTED_VALUE"""),"파탤")</f>
        <v>파탤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 t="str">
        <f>IFERROR(__xludf.DUMMYFUNCTION("""COMPUTED_VALUE"""),"PERDIGAO")</f>
        <v>PERDIGAO</v>
      </c>
      <c r="B237" s="1" t="str">
        <f>IFERROR(__xludf.DUMMYFUNCTION("""COMPUTED_VALUE"""),"페르디가오")</f>
        <v>페르디가오</v>
      </c>
      <c r="C237" s="1" t="str">
        <f>IFERROR(__xludf.DUMMYFUNCTION("""COMPUTED_VALUE"""),"패르디가오")</f>
        <v>패르디가오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 t="str">
        <f>IFERROR(__xludf.DUMMYFUNCTION("""COMPUTED_VALUE"""),"PILGRIM")</f>
        <v>PILGRIM</v>
      </c>
      <c r="B238" s="1" t="str">
        <f>IFERROR(__xludf.DUMMYFUNCTION("""COMPUTED_VALUE"""),"필그림")</f>
        <v>필그림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 t="str">
        <f>IFERROR(__xludf.DUMMYFUNCTION("""COMPUTED_VALUE"""),"PINI")</f>
        <v>PINI</v>
      </c>
      <c r="B239" s="1" t="str">
        <f>IFERROR(__xludf.DUMMYFUNCTION("""COMPUTED_VALUE"""),"피니")</f>
        <v>피니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 t="str">
        <f>IFERROR(__xludf.DUMMYFUNCTION("""COMPUTED_VALUE"""),"PIONEER")</f>
        <v>PIONEER</v>
      </c>
      <c r="B240" s="1" t="str">
        <f>IFERROR(__xludf.DUMMYFUNCTION("""COMPUTED_VALUE"""),"파이오니아")</f>
        <v>파이오니아</v>
      </c>
      <c r="C240" s="1" t="str">
        <f>IFERROR(__xludf.DUMMYFUNCTION("""COMPUTED_VALUE"""),"파이오니어")</f>
        <v>파이오니어</v>
      </c>
      <c r="D240" s="1" t="str">
        <f>IFERROR(__xludf.DUMMYFUNCTION("""COMPUTED_VALUE"""),"피오니아")</f>
        <v>피오니아</v>
      </c>
      <c r="E240" s="1" t="str">
        <f>IFERROR(__xludf.DUMMYFUNCTION("""COMPUTED_VALUE"""),"피오니어")</f>
        <v>피오니어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 t="str">
        <f>IFERROR(__xludf.DUMMYFUNCTION("""COMPUTED_VALUE"""),"PORKKING")</f>
        <v>PORKKING</v>
      </c>
      <c r="B241" s="1" t="str">
        <f>IFERROR(__xludf.DUMMYFUNCTION("""COMPUTED_VALUE"""),"포크킹")</f>
        <v>포크킹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 t="str">
        <f>IFERROR(__xludf.DUMMYFUNCTION("""COMPUTED_VALUE"""),"PPCS")</f>
        <v>PPCS</v>
      </c>
      <c r="B242" s="1" t="str">
        <f>IFERROR(__xludf.DUMMYFUNCTION("""COMPUTED_VALUE"""),"피피씨에스")</f>
        <v>피피씨에스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 t="str">
        <f>IFERROR(__xludf.DUMMYFUNCTION("""COMPUTED_VALUE"""),"PPS")</f>
        <v>PPS</v>
      </c>
      <c r="B243" s="1" t="str">
        <f>IFERROR(__xludf.DUMMYFUNCTION("""COMPUTED_VALUE"""),"피피에스")</f>
        <v>피피에스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 t="str">
        <f>IFERROR(__xludf.DUMMYFUNCTION("""COMPUTED_VALUE"""),"PRIMACARNE")</f>
        <v>PRIMACARNE</v>
      </c>
      <c r="B244" s="1" t="str">
        <f>IFERROR(__xludf.DUMMYFUNCTION("""COMPUTED_VALUE"""),"프리마카르네")</f>
        <v>프리마카르네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 t="str">
        <f>IFERROR(__xludf.DUMMYFUNCTION("""COMPUTED_VALUE"""),"PRIMEFOOD")</f>
        <v>PRIMEFOOD</v>
      </c>
      <c r="B245" s="1" t="str">
        <f>IFERROR(__xludf.DUMMYFUNCTION("""COMPUTED_VALUE"""),"프라임푸드")</f>
        <v>프라임푸드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 t="str">
        <f>IFERROR(__xludf.DUMMYFUNCTION("""COMPUTED_VALUE"""),"PRIMEPORK")</f>
        <v>PRIMEPORK</v>
      </c>
      <c r="B246" s="1" t="str">
        <f>IFERROR(__xludf.DUMMYFUNCTION("""COMPUTED_VALUE"""),"프라임포크")</f>
        <v>프라임포크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 t="str">
        <f>IFERROR(__xludf.DUMMYFUNCTION("""COMPUTED_VALUE"""),"PRIMO")</f>
        <v>PRIMO</v>
      </c>
      <c r="B247" s="1" t="str">
        <f>IFERROR(__xludf.DUMMYFUNCTION("""COMPUTED_VALUE"""),"프리모")</f>
        <v>프리모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 t="str">
        <f>IFERROR(__xludf.DUMMYFUNCTION("""COMPUTED_VALUE"""),"PROAN")</f>
        <v>PROAN</v>
      </c>
      <c r="B248" s="1" t="str">
        <f>IFERROR(__xludf.DUMMYFUNCTION("""COMPUTED_VALUE"""),"프로안")</f>
        <v>프로안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 t="str">
        <f>IFERROR(__xludf.DUMMYFUNCTION("""COMPUTED_VALUE"""),"PUL")</f>
        <v>PUL</v>
      </c>
      <c r="B249" s="1" t="str">
        <f>IFERROR(__xludf.DUMMYFUNCTION("""COMPUTED_VALUE"""),"풀")</f>
        <v>풀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 t="str">
        <f>IFERROR(__xludf.DUMMYFUNCTION("""COMPUTED_VALUE"""),"RAABTAL")</f>
        <v>RAABTAL</v>
      </c>
      <c r="B250" s="1" t="str">
        <f>IFERROR(__xludf.DUMMYFUNCTION("""COMPUTED_VALUE"""),"랍탈")</f>
        <v>랍탈</v>
      </c>
      <c r="C250" s="1" t="str">
        <f>IFERROR(__xludf.DUMMYFUNCTION("""COMPUTED_VALUE"""),"라프탈")</f>
        <v>라프탈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 t="str">
        <f>IFERROR(__xludf.DUMMYFUNCTION("""COMPUTED_VALUE"""),"RALPHS")</f>
        <v>RALPHS</v>
      </c>
      <c r="B251" s="1" t="str">
        <f>IFERROR(__xludf.DUMMYFUNCTION("""COMPUTED_VALUE"""),"랄프")</f>
        <v>랄프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 t="str">
        <f>IFERROR(__xludf.DUMMYFUNCTION("""COMPUTED_VALUE"""),"RAMOS")</f>
        <v>RAMOS</v>
      </c>
      <c r="B252" s="1" t="str">
        <f>IFERROR(__xludf.DUMMYFUNCTION("""COMPUTED_VALUE"""),"라모스")</f>
        <v>라모스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 t="str">
        <f>IFERROR(__xludf.DUMMYFUNCTION("""COMPUTED_VALUE"""),"RANGE")</f>
        <v>RANGE</v>
      </c>
      <c r="B253" s="1" t="str">
        <f>IFERROR(__xludf.DUMMYFUNCTION("""COMPUTED_VALUE"""),"레인지")</f>
        <v>레인지</v>
      </c>
      <c r="C253" s="1" t="str">
        <f>IFERROR(__xludf.DUMMYFUNCTION("""COMPUTED_VALUE"""),"래인지")</f>
        <v>래인지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 t="str">
        <f>IFERROR(__xludf.DUMMYFUNCTION("""COMPUTED_VALUE"""),"RANGERSVALLEY")</f>
        <v>RANGERSVALLEY</v>
      </c>
      <c r="B254" s="1" t="str">
        <f>IFERROR(__xludf.DUMMYFUNCTION("""COMPUTED_VALUE"""),"레인저스벨리")</f>
        <v>레인저스벨리</v>
      </c>
      <c r="C254" s="1" t="str">
        <f>IFERROR(__xludf.DUMMYFUNCTION("""COMPUTED_VALUE"""),"래인저스밸스")</f>
        <v>래인저스밸스</v>
      </c>
      <c r="D254" s="1" t="str">
        <f>IFERROR(__xludf.DUMMYFUNCTION("""COMPUTED_VALUE"""),"레인저스벨리")</f>
        <v>레인저스벨리</v>
      </c>
      <c r="E254" s="1" t="str">
        <f>IFERROR(__xludf.DUMMYFUNCTION("""COMPUTED_VALUE"""),"레인저스벨리")</f>
        <v>레인저스벨리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 t="str">
        <f>IFERROR(__xludf.DUMMYFUNCTION("""COMPUTED_VALUE"""),"RANTOUL")</f>
        <v>RANTOUL</v>
      </c>
      <c r="B255" s="1" t="str">
        <f>IFERROR(__xludf.DUMMYFUNCTION("""COMPUTED_VALUE"""),"란툴")</f>
        <v>란툴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 t="str">
        <f>IFERROR(__xludf.DUMMYFUNCTION("""COMPUTED_VALUE"""),"RASTELLIS")</f>
        <v>RASTELLIS</v>
      </c>
      <c r="B256" s="1" t="str">
        <f>IFERROR(__xludf.DUMMYFUNCTION("""COMPUTED_VALUE"""),"라스텔리스")</f>
        <v>라스텔리스</v>
      </c>
      <c r="C256" s="1" t="str">
        <f>IFERROR(__xludf.DUMMYFUNCTION("""COMPUTED_VALUE"""),"라스탤리스")</f>
        <v>라스탤리스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 t="str">
        <f>IFERROR(__xludf.DUMMYFUNCTION("""COMPUTED_VALUE"""),"RAVENSWORTH")</f>
        <v>RAVENSWORTH</v>
      </c>
      <c r="B257" s="1" t="str">
        <f>IFERROR(__xludf.DUMMYFUNCTION("""COMPUTED_VALUE"""),"레이븐스워스")</f>
        <v>레이븐스워스</v>
      </c>
      <c r="C257" s="1" t="str">
        <f>IFERROR(__xludf.DUMMYFUNCTION("""COMPUTED_VALUE"""),"레이븐워스")</f>
        <v>레이븐워스</v>
      </c>
      <c r="D257" s="1" t="str">
        <f>IFERROR(__xludf.DUMMYFUNCTION("""COMPUTED_VALUE"""),"래이븐스워스")</f>
        <v>래이븐스워스</v>
      </c>
      <c r="E257" s="1" t="str">
        <f>IFERROR(__xludf.DUMMYFUNCTION("""COMPUTED_VALUE"""),"래이븐워스")</f>
        <v>래이븐워스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 t="str">
        <f>IFERROR(__xludf.DUMMYFUNCTION("""COMPUTED_VALUE"""),"RICHMOND")</f>
        <v>RICHMOND</v>
      </c>
      <c r="B258" s="1" t="str">
        <f>IFERROR(__xludf.DUMMYFUNCTION("""COMPUTED_VALUE"""),"리치몬드")</f>
        <v>리치몬드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 t="str">
        <f>IFERROR(__xludf.DUMMYFUNCTION("""COMPUTED_VALUE"""),"RIVASAM")</f>
        <v>RIVASAM</v>
      </c>
      <c r="B259" s="1" t="str">
        <f>IFERROR(__xludf.DUMMYFUNCTION("""COMPUTED_VALUE"""),"리바삼")</f>
        <v>리바삼</v>
      </c>
      <c r="C259" s="1" t="str">
        <f>IFERROR(__xludf.DUMMYFUNCTION("""COMPUTED_VALUE"""),"리바쌈")</f>
        <v>리바쌈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 t="str">
        <f>IFERROR(__xludf.DUMMYFUNCTION("""COMPUTED_VALUE"""),"RIVERLAND")</f>
        <v>RIVERLAND</v>
      </c>
      <c r="B260" s="1" t="str">
        <f>IFERROR(__xludf.DUMMYFUNCTION("""COMPUTED_VALUE"""),"리버랜드")</f>
        <v>리버랜드</v>
      </c>
      <c r="C260" s="1" t="str">
        <f>IFERROR(__xludf.DUMMYFUNCTION("""COMPUTED_VALUE"""),"리버렌드")</f>
        <v>리버렌드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 t="str">
        <f>IFERROR(__xludf.DUMMYFUNCTION("""COMPUTED_VALUE"""),"ROBUSTO")</f>
        <v>ROBUSTO</v>
      </c>
      <c r="B261" s="1" t="str">
        <f>IFERROR(__xludf.DUMMYFUNCTION("""COMPUTED_VALUE"""),"로부스토")</f>
        <v>로부스토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 t="str">
        <f>IFERROR(__xludf.DUMMYFUNCTION("""COMPUTED_VALUE"""),"ROCKDALE")</f>
        <v>ROCKDALE</v>
      </c>
      <c r="B262" s="1" t="str">
        <f>IFERROR(__xludf.DUMMYFUNCTION("""COMPUTED_VALUE"""),"록데일")</f>
        <v>록데일</v>
      </c>
      <c r="C262" s="1" t="str">
        <f>IFERROR(__xludf.DUMMYFUNCTION("""COMPUTED_VALUE"""),"록대일")</f>
        <v>록대일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 t="str">
        <f>IFERROR(__xludf.DUMMYFUNCTION("""COMPUTED_VALUE"""),"RODRIGUEZ")</f>
        <v>RODRIGUEZ</v>
      </c>
      <c r="B263" s="1" t="str">
        <f>IFERROR(__xludf.DUMMYFUNCTION("""COMPUTED_VALUE"""),"로드리게스")</f>
        <v>로드리게스</v>
      </c>
      <c r="C263" s="1" t="str">
        <f>IFERROR(__xludf.DUMMYFUNCTION("""COMPUTED_VALUE"""),"로드리개스")</f>
        <v>로드리개스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 t="str">
        <f>IFERROR(__xludf.DUMMYFUNCTION("""COMPUTED_VALUE"""),"ROSDERRA")</f>
        <v>ROSDERRA</v>
      </c>
      <c r="B264" s="1" t="str">
        <f>IFERROR(__xludf.DUMMYFUNCTION("""COMPUTED_VALUE"""),"로스데라")</f>
        <v>로스데라</v>
      </c>
      <c r="C264" s="1" t="str">
        <f>IFERROR(__xludf.DUMMYFUNCTION("""COMPUTED_VALUE"""),"로즈대라")</f>
        <v>로즈대라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 t="str">
        <f>IFERROR(__xludf.DUMMYFUNCTION("""COMPUTED_VALUE"""),"ROSE")</f>
        <v>ROSE</v>
      </c>
      <c r="B265" s="1" t="str">
        <f>IFERROR(__xludf.DUMMYFUNCTION("""COMPUTED_VALUE"""),"로즈")</f>
        <v>로즈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 t="str">
        <f>IFERROR(__xludf.DUMMYFUNCTION("""COMPUTED_VALUE"""),"RUDOLF")</f>
        <v>RUDOLF</v>
      </c>
      <c r="B266" s="1" t="str">
        <f>IFERROR(__xludf.DUMMYFUNCTION("""COMPUTED_VALUE"""),"루돌프")</f>
        <v>루돌프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 t="str">
        <f>IFERROR(__xludf.DUMMYFUNCTION("""COMPUTED_VALUE"""),"RUMJUNGLE")</f>
        <v>RUMJUNGLE</v>
      </c>
      <c r="B267" s="1" t="str">
        <f>IFERROR(__xludf.DUMMYFUNCTION("""COMPUTED_VALUE"""),"럼정글")</f>
        <v>럼정글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 t="str">
        <f>IFERROR(__xludf.DUMMYFUNCTION("""COMPUTED_VALUE"""),"SADIA")</f>
        <v>SADIA</v>
      </c>
      <c r="B268" s="1" t="str">
        <f>IFERROR(__xludf.DUMMYFUNCTION("""COMPUTED_VALUE"""),"사디아")</f>
        <v>사디아</v>
      </c>
      <c r="C268" s="1" t="str">
        <f>IFERROR(__xludf.DUMMYFUNCTION("""COMPUTED_VALUE"""),"싸디아")</f>
        <v>싸디아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 t="str">
        <f>IFERROR(__xludf.DUMMYFUNCTION("""COMPUTED_VALUE"""),"SALAMANCA")</f>
        <v>SALAMANCA</v>
      </c>
      <c r="B269" s="1" t="str">
        <f>IFERROR(__xludf.DUMMYFUNCTION("""COMPUTED_VALUE"""),"살라망카")</f>
        <v>살라망카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 t="str">
        <f>IFERROR(__xludf.DUMMYFUNCTION("""COMPUTED_VALUE"""),"SAMKANE")</f>
        <v>SAMKANE</v>
      </c>
      <c r="B270" s="1" t="str">
        <f>IFERROR(__xludf.DUMMYFUNCTION("""COMPUTED_VALUE"""),"샴케인")</f>
        <v>샴케인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 t="str">
        <f>IFERROR(__xludf.DUMMYFUNCTION("""COMPUTED_VALUE"""),"SANCHOKU")</f>
        <v>SANCHOKU</v>
      </c>
      <c r="B271" s="1" t="str">
        <f>IFERROR(__xludf.DUMMYFUNCTION("""COMPUTED_VALUE"""),"산초쿠")</f>
        <v>산초쿠</v>
      </c>
      <c r="C271" s="1" t="str">
        <f>IFERROR(__xludf.DUMMYFUNCTION("""COMPUTED_VALUE"""),"산쵸쿠")</f>
        <v>산쵸쿠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 t="str">
        <f>IFERROR(__xludf.DUMMYFUNCTION("""COMPUTED_VALUE"""),"SANTARA")</f>
        <v>SANTARA</v>
      </c>
      <c r="B272" s="1" t="str">
        <f>IFERROR(__xludf.DUMMYFUNCTION("""COMPUTED_VALUE"""),"산타라")</f>
        <v>산타라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 t="str">
        <f>IFERROR(__xludf.DUMMYFUNCTION("""COMPUTED_VALUE"""),"SCHEUCHER")</f>
        <v>SCHEUCHER</v>
      </c>
      <c r="B273" s="1" t="str">
        <f>IFERROR(__xludf.DUMMYFUNCTION("""COMPUTED_VALUE"""),"슈처")</f>
        <v>슈처</v>
      </c>
      <c r="C273" s="1" t="str">
        <f>IFERROR(__xludf.DUMMYFUNCTION("""COMPUTED_VALUE"""),"슈어처")</f>
        <v>슈어처</v>
      </c>
      <c r="D273" s="1" t="str">
        <f>IFERROR(__xludf.DUMMYFUNCTION("""COMPUTED_VALUE"""),"슈쳐")</f>
        <v>슈쳐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 t="str">
        <f>IFERROR(__xludf.DUMMYFUNCTION("""COMPUTED_VALUE"""),"SCHWEINEGOLD")</f>
        <v>SCHWEINEGOLD</v>
      </c>
      <c r="B274" s="1" t="str">
        <f>IFERROR(__xludf.DUMMYFUNCTION("""COMPUTED_VALUE"""),"슈바인골드")</f>
        <v>슈바인골드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 t="str">
        <f>IFERROR(__xludf.DUMMYFUNCTION("""COMPUTED_VALUE"""),"SEABOARD")</f>
        <v>SEABOARD</v>
      </c>
      <c r="B275" s="1" t="str">
        <f>IFERROR(__xludf.DUMMYFUNCTION("""COMPUTED_VALUE"""),"시보드")</f>
        <v>시보드</v>
      </c>
      <c r="C275" s="1" t="str">
        <f>IFERROR(__xludf.DUMMYFUNCTION("""COMPUTED_VALUE"""),"씨보드")</f>
        <v>씨보드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 t="str">
        <f>IFERROR(__xludf.DUMMYFUNCTION("""COMPUTED_VALUE"""),"SEARA")</f>
        <v>SEARA</v>
      </c>
      <c r="B276" s="1" t="str">
        <f>IFERROR(__xludf.DUMMYFUNCTION("""COMPUTED_VALUE"""),"씨에라")</f>
        <v>씨에라</v>
      </c>
      <c r="C276" s="1" t="str">
        <f>IFERROR(__xludf.DUMMYFUNCTION("""COMPUTED_VALUE"""),"씨애라")</f>
        <v>씨애라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 t="str">
        <f>IFERROR(__xludf.DUMMYFUNCTION("""COMPUTED_VALUE"""),"SECURITY")</f>
        <v>SECURITY</v>
      </c>
      <c r="B277" s="1" t="str">
        <f>IFERROR(__xludf.DUMMYFUNCTION("""COMPUTED_VALUE"""),"시큐리티")</f>
        <v>시큐리티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 t="str">
        <f>IFERROR(__xludf.DUMMYFUNCTION("""COMPUTED_VALUE"""),"SHIMO")</f>
        <v>SHIMO</v>
      </c>
      <c r="B278" s="1" t="str">
        <f>IFERROR(__xludf.DUMMYFUNCTION("""COMPUTED_VALUE"""),"시모")</f>
        <v>시모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 t="str">
        <f>IFERROR(__xludf.DUMMYFUNCTION("""COMPUTED_VALUE"""),"SHOWCASE")</f>
        <v>SHOWCASE</v>
      </c>
      <c r="B279" s="1" t="str">
        <f>IFERROR(__xludf.DUMMYFUNCTION("""COMPUTED_VALUE"""),"쇼케이스")</f>
        <v>쇼케이스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 t="str">
        <f>IFERROR(__xludf.DUMMYFUNCTION("""COMPUTED_VALUE"""),"SIGNATURE")</f>
        <v>SIGNATURE</v>
      </c>
      <c r="B280" s="1" t="str">
        <f>IFERROR(__xludf.DUMMYFUNCTION("""COMPUTED_VALUE"""),"시그니처")</f>
        <v>시그니처</v>
      </c>
      <c r="C280" s="1" t="str">
        <f>IFERROR(__xludf.DUMMYFUNCTION("""COMPUTED_VALUE"""),"시그니쳐")</f>
        <v>시그니쳐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 t="str">
        <f>IFERROR(__xludf.DUMMYFUNCTION("""COMPUTED_VALUE"""),"SILVERFERN")</f>
        <v>SILVERFERN</v>
      </c>
      <c r="B281" s="1" t="str">
        <f>IFERROR(__xludf.DUMMYFUNCTION("""COMPUTED_VALUE"""),"실버펀")</f>
        <v>실버펀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 t="str">
        <f>IFERROR(__xludf.DUMMYFUNCTION("""COMPUTED_VALUE"""),"SIMON")</f>
        <v>SIMON</v>
      </c>
      <c r="B282" s="1" t="str">
        <f>IFERROR(__xludf.DUMMYFUNCTION("""COMPUTED_VALUE"""),"시몬")</f>
        <v>시몬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 t="str">
        <f>IFERROR(__xludf.DUMMYFUNCTION("""COMPUTED_VALUE"""),"SIMUNOVIC")</f>
        <v>SIMUNOVIC</v>
      </c>
      <c r="B283" s="1" t="str">
        <f>IFERROR(__xludf.DUMMYFUNCTION("""COMPUTED_VALUE"""),"시무노빅")</f>
        <v>시무노빅</v>
      </c>
      <c r="C283" s="1" t="str">
        <f>IFERROR(__xludf.DUMMYFUNCTION("""COMPUTED_VALUE"""),"시뮤노빅")</f>
        <v>시뮤노빅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 t="str">
        <f>IFERROR(__xludf.DUMMYFUNCTION("""COMPUTED_VALUE"""),"SKARE")</f>
        <v>SKARE</v>
      </c>
      <c r="B284" s="1" t="str">
        <f>IFERROR(__xludf.DUMMYFUNCTION("""COMPUTED_VALUE"""),"스카레")</f>
        <v>스카레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 t="str">
        <f>IFERROR(__xludf.DUMMYFUNCTION("""COMPUTED_VALUE"""),"SMITHFIELD")</f>
        <v>SMITHFIELD</v>
      </c>
      <c r="B285" s="1" t="str">
        <f>IFERROR(__xludf.DUMMYFUNCTION("""COMPUTED_VALUE"""),"스미스필드")</f>
        <v>스미스필드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 t="str">
        <f>IFERROR(__xludf.DUMMYFUNCTION("""COMPUTED_VALUE"""),"SNELLMAN")</f>
        <v>SNELLMAN</v>
      </c>
      <c r="B286" s="1" t="str">
        <f>IFERROR(__xludf.DUMMYFUNCTION("""COMPUTED_VALUE"""),"스넬맨")</f>
        <v>스넬맨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 t="str">
        <f>IFERROR(__xludf.DUMMYFUNCTION("""COMPUTED_VALUE"""),"SOCOPA")</f>
        <v>SOCOPA</v>
      </c>
      <c r="B287" s="1" t="str">
        <f>IFERROR(__xludf.DUMMYFUNCTION("""COMPUTED_VALUE"""),"소코파")</f>
        <v>소코파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 t="str">
        <f>IFERROR(__xludf.DUMMYFUNCTION("""COMPUTED_VALUE"""),"SOFINA")</f>
        <v>SOFINA</v>
      </c>
      <c r="B288" s="1" t="str">
        <f>IFERROR(__xludf.DUMMYFUNCTION("""COMPUTED_VALUE"""),"소피나")</f>
        <v>소피나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 t="str">
        <f>IFERROR(__xludf.DUMMYFUNCTION("""COMPUTED_VALUE"""),"SOKOLOW")</f>
        <v>SOKOLOW</v>
      </c>
      <c r="B289" s="1" t="str">
        <f>IFERROR(__xludf.DUMMYFUNCTION("""COMPUTED_VALUE"""),"소콜로프")</f>
        <v>소콜로프</v>
      </c>
      <c r="C289" s="1" t="str">
        <f>IFERROR(__xludf.DUMMYFUNCTION("""COMPUTED_VALUE"""),"소콜로우")</f>
        <v>소콜로우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 t="str">
        <f>IFERROR(__xludf.DUMMYFUNCTION("""COMPUTED_VALUE"""),"SOLA")</f>
        <v>SOLA</v>
      </c>
      <c r="B290" s="1" t="str">
        <f>IFERROR(__xludf.DUMMYFUNCTION("""COMPUTED_VALUE"""),"솔라")</f>
        <v>솔라</v>
      </c>
      <c r="C290" s="1" t="str">
        <f>IFERROR(__xludf.DUMMYFUNCTION("""COMPUTED_VALUE"""),"쏠라")</f>
        <v>쏠라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 t="str">
        <f>IFERROR(__xludf.DUMMYFUNCTION("""COMPUTED_VALUE"""),"SOLES")</f>
        <v>SOLES</v>
      </c>
      <c r="B291" s="1" t="str">
        <f>IFERROR(__xludf.DUMMYFUNCTION("""COMPUTED_VALUE"""),"솔레스")</f>
        <v>솔레스</v>
      </c>
      <c r="C291" s="1" t="str">
        <f>IFERROR(__xludf.DUMMYFUNCTION("""COMPUTED_VALUE"""),"솔래스")</f>
        <v>솔래스</v>
      </c>
      <c r="D291" s="1" t="str">
        <f>IFERROR(__xludf.DUMMYFUNCTION("""COMPUTED_VALUE"""),"쏠레스")</f>
        <v>쏠레스</v>
      </c>
      <c r="E291" s="1" t="str">
        <f>IFERROR(__xludf.DUMMYFUNCTION("""COMPUTED_VALUE"""),"쏠래스")</f>
        <v>쏠래스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 t="str">
        <f>IFERROR(__xludf.DUMMYFUNCTION("""COMPUTED_VALUE"""),"SOLIS")</f>
        <v>SOLIS</v>
      </c>
      <c r="B292" s="1" t="str">
        <f>IFERROR(__xludf.DUMMYFUNCTION("""COMPUTED_VALUE"""),"솔리스")</f>
        <v>솔리스</v>
      </c>
      <c r="C292" s="1" t="str">
        <f>IFERROR(__xludf.DUMMYFUNCTION("""COMPUTED_VALUE"""),"쏠리스")</f>
        <v>쏠리스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 t="str">
        <f>IFERROR(__xludf.DUMMYFUNCTION("""COMPUTED_VALUE"""),"SOUTHERNGRANDE")</f>
        <v>SOUTHERNGRANDE</v>
      </c>
      <c r="B293" s="1" t="str">
        <f>IFERROR(__xludf.DUMMYFUNCTION("""COMPUTED_VALUE"""),"서던그란데")</f>
        <v>서던그란데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 t="str">
        <f>IFERROR(__xludf.DUMMYFUNCTION("""COMPUTED_VALUE"""),"SOUTHRIVER")</f>
        <v>SOUTHRIVER</v>
      </c>
      <c r="B294" s="1" t="str">
        <f>IFERROR(__xludf.DUMMYFUNCTION("""COMPUTED_VALUE"""),"사우스리버")</f>
        <v>사우스리버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 t="str">
        <f>IFERROR(__xludf.DUMMYFUNCTION("""COMPUTED_VALUE"""),"SOVEREIGN")</f>
        <v>SOVEREIGN</v>
      </c>
      <c r="B295" s="1" t="str">
        <f>IFERROR(__xludf.DUMMYFUNCTION("""COMPUTED_VALUE"""),"소버린")</f>
        <v>소버린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 t="str">
        <f>IFERROR(__xludf.DUMMYFUNCTION("""COMPUTED_VALUE"""),"SPRINGHILL")</f>
        <v>SPRINGHILL</v>
      </c>
      <c r="B296" s="1" t="str">
        <f>IFERROR(__xludf.DUMMYFUNCTION("""COMPUTED_VALUE"""),"스프링힐")</f>
        <v>스프링힐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 t="str">
        <f>IFERROR(__xludf.DUMMYFUNCTION("""COMPUTED_VALUE"""),"SRF")</f>
        <v>SRF</v>
      </c>
      <c r="B297" s="1" t="str">
        <f>IFERROR(__xludf.DUMMYFUNCTION("""COMPUTED_VALUE"""),"에스알에프")</f>
        <v>에스알에프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 t="str">
        <f>IFERROR(__xludf.DUMMYFUNCTION("""COMPUTED_VALUE"""),"ST.HELENS")</f>
        <v>ST.HELENS</v>
      </c>
      <c r="B298" s="1" t="str">
        <f>IFERROR(__xludf.DUMMYFUNCTION("""COMPUTED_VALUE"""),"세인트헬렌스")</f>
        <v>세인트헬렌스</v>
      </c>
      <c r="C298" s="1" t="str">
        <f>IFERROR(__xludf.DUMMYFUNCTION("""COMPUTED_VALUE"""),"세인트헬렌")</f>
        <v>세인트헬렌</v>
      </c>
      <c r="D298" s="1" t="str">
        <f>IFERROR(__xludf.DUMMYFUNCTION("""COMPUTED_VALUE"""),"새인트헬렌")</f>
        <v>새인트헬렌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 t="str">
        <f>IFERROR(__xludf.DUMMYFUNCTION("""COMPUTED_VALUE"""),"STANBROKE")</f>
        <v>STANBROKE</v>
      </c>
      <c r="B299" s="1" t="str">
        <f>IFERROR(__xludf.DUMMYFUNCTION("""COMPUTED_VALUE"""),"스탠브룩")</f>
        <v>스탠브룩</v>
      </c>
      <c r="C299" s="1" t="str">
        <f>IFERROR(__xludf.DUMMYFUNCTION("""COMPUTED_VALUE"""),"스탄브로크")</f>
        <v>스탄브로크</v>
      </c>
      <c r="D299" s="1" t="str">
        <f>IFERROR(__xludf.DUMMYFUNCTION("""COMPUTED_VALUE"""),"스탠브로크")</f>
        <v>스탠브로크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 t="str">
        <f>IFERROR(__xludf.DUMMYFUNCTION("""COMPUTED_VALUE"""),"STEIRERFLEISCH")</f>
        <v>STEIRERFLEISCH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 t="str">
        <f>IFERROR(__xludf.DUMMYFUNCTION("""COMPUTED_VALUE"""),"STX")</f>
        <v>STX</v>
      </c>
      <c r="B301" s="1" t="str">
        <f>IFERROR(__xludf.DUMMYFUNCTION("""COMPUTED_VALUE"""),"에스티엑스")</f>
        <v>에스티엑스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 t="str">
        <f>IFERROR(__xludf.DUMMYFUNCTION("""COMPUTED_VALUE"""),"SUDDENRIVER")</f>
        <v>SUDDENRIVER</v>
      </c>
      <c r="B302" s="1" t="str">
        <f>IFERROR(__xludf.DUMMYFUNCTION("""COMPUTED_VALUE"""),"서든리버")</f>
        <v>서든리버</v>
      </c>
      <c r="C302" s="1" t="str">
        <f>IFERROR(__xludf.DUMMYFUNCTION("""COMPUTED_VALUE"""),"서던리버")</f>
        <v>서던리버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 t="str">
        <f>IFERROR(__xludf.DUMMYFUNCTION("""COMPUTED_VALUE"""),"SUKARNE")</f>
        <v>SUKARNE</v>
      </c>
      <c r="B303" s="1" t="str">
        <f>IFERROR(__xludf.DUMMYFUNCTION("""COMPUTED_VALUE"""),"수카르네")</f>
        <v>수카르네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 t="str">
        <f>IFERROR(__xludf.DUMMYFUNCTION("""COMPUTED_VALUE"""),"SUNPORK")</f>
        <v>SUNPORK</v>
      </c>
      <c r="B304" s="1" t="str">
        <f>IFERROR(__xludf.DUMMYFUNCTION("""COMPUTED_VALUE"""),"선포크")</f>
        <v>선포크</v>
      </c>
      <c r="C304" s="1" t="str">
        <f>IFERROR(__xludf.DUMMYFUNCTION("""COMPUTED_VALUE"""),"썬포크")</f>
        <v>썬포크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 t="str">
        <f>IFERROR(__xludf.DUMMYFUNCTION("""COMPUTED_VALUE"""),"SUNTERRA")</f>
        <v>SUNTERRA</v>
      </c>
      <c r="B305" s="1" t="str">
        <f>IFERROR(__xludf.DUMMYFUNCTION("""COMPUTED_VALUE"""),"선테라")</f>
        <v>선테라</v>
      </c>
      <c r="C305" s="1" t="str">
        <f>IFERROR(__xludf.DUMMYFUNCTION("""COMPUTED_VALUE"""),"썬테라")</f>
        <v>썬테라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 t="str">
        <f>IFERROR(__xludf.DUMMYFUNCTION("""COMPUTED_VALUE"""),"SUPERPORK")</f>
        <v>SUPERPORK</v>
      </c>
      <c r="B306" s="1" t="str">
        <f>IFERROR(__xludf.DUMMYFUNCTION("""COMPUTED_VALUE"""),"수퍼포크")</f>
        <v>수퍼포크</v>
      </c>
      <c r="C306" s="1" t="str">
        <f>IFERROR(__xludf.DUMMYFUNCTION("""COMPUTED_VALUE"""),"슈퍼포크")</f>
        <v>슈퍼포크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 t="str">
        <f>IFERROR(__xludf.DUMMYFUNCTION("""COMPUTED_VALUE"""),"SWAGGERTYS")</f>
        <v>SWAGGERTYS</v>
      </c>
      <c r="B307" s="1" t="str">
        <f>IFERROR(__xludf.DUMMYFUNCTION("""COMPUTED_VALUE"""),"스와게티")</f>
        <v>스와게티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 t="str">
        <f>IFERROR(__xludf.DUMMYFUNCTION("""COMPUTED_VALUE"""),"SWIFT")</f>
        <v>SWIFT</v>
      </c>
      <c r="B308" s="1" t="str">
        <f>IFERROR(__xludf.DUMMYFUNCTION("""COMPUTED_VALUE"""),"스위프트")</f>
        <v>스위프트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 t="str">
        <f>IFERROR(__xludf.DUMMYFUNCTION("""COMPUTED_VALUE"""),"T&amp;P")</f>
        <v>T&amp;P</v>
      </c>
      <c r="B309" s="1" t="str">
        <f>IFERROR(__xludf.DUMMYFUNCTION("""COMPUTED_VALUE"""),"티앤피")</f>
        <v>티앤피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 t="str">
        <f>IFERROR(__xludf.DUMMYFUNCTION("""COMPUTED_VALUE"""),"T&amp;R")</f>
        <v>T&amp;R</v>
      </c>
      <c r="B310" s="1" t="str">
        <f>IFERROR(__xludf.DUMMYFUNCTION("""COMPUTED_VALUE"""),"티앤알")</f>
        <v>티앤알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 t="str">
        <f>IFERROR(__xludf.DUMMYFUNCTION("""COMPUTED_VALUE"""),"TABRO")</f>
        <v>TABRO</v>
      </c>
      <c r="B311" s="1" t="str">
        <f>IFERROR(__xludf.DUMMYFUNCTION("""COMPUTED_VALUE"""),"타브로")</f>
        <v>타브로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 t="str">
        <f>IFERROR(__xludf.DUMMYFUNCTION("""COMPUTED_VALUE"""),"TAJIMA")</f>
        <v>TAJIMA</v>
      </c>
      <c r="B312" s="1" t="str">
        <f>IFERROR(__xludf.DUMMYFUNCTION("""COMPUTED_VALUE"""),"타지마")</f>
        <v>타지마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 t="str">
        <f>IFERROR(__xludf.DUMMYFUNCTION("""COMPUTED_VALUE"""),"TAKUMI")</f>
        <v>TAKUMI</v>
      </c>
      <c r="B313" s="1" t="str">
        <f>IFERROR(__xludf.DUMMYFUNCTION("""COMPUTED_VALUE"""),"타쿠미")</f>
        <v>타쿠미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 t="str">
        <f>IFERROR(__xludf.DUMMYFUNCTION("""COMPUTED_VALUE"""),"TAMACO")</f>
        <v>TAMACO</v>
      </c>
      <c r="B314" s="1" t="str">
        <f>IFERROR(__xludf.DUMMYFUNCTION("""COMPUTED_VALUE"""),"타마코")</f>
        <v>타마코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 t="str">
        <f>IFERROR(__xludf.DUMMYFUNCTION("""COMPUTED_VALUE"""),"TARAVALLEY")</f>
        <v>TARAVALLEY</v>
      </c>
      <c r="B315" s="1" t="str">
        <f>IFERROR(__xludf.DUMMYFUNCTION("""COMPUTED_VALUE"""),"타라밸리")</f>
        <v>타라밸리</v>
      </c>
      <c r="C315" s="1" t="str">
        <f>IFERROR(__xludf.DUMMYFUNCTION("""COMPUTED_VALUE"""),"타라벨리")</f>
        <v>타라벨리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 t="str">
        <f>IFERROR(__xludf.DUMMYFUNCTION("""COMPUTED_VALUE"""),"TASMAN")</f>
        <v>TASMAN</v>
      </c>
      <c r="B316" s="1" t="str">
        <f>IFERROR(__xludf.DUMMYFUNCTION("""COMPUTED_VALUE"""),"타스맨")</f>
        <v>타스맨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 t="str">
        <f>IFERROR(__xludf.DUMMYFUNCTION("""COMPUTED_VALUE"""),"TAYLORPRESTON")</f>
        <v>TAYLORPRESTON</v>
      </c>
      <c r="B317" s="1" t="str">
        <f>IFERROR(__xludf.DUMMYFUNCTION("""COMPUTED_VALUE"""),"테일러프레스톤")</f>
        <v>테일러프레스톤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 t="str">
        <f>IFERROR(__xludf.DUMMYFUNCTION("""COMPUTED_VALUE"""),"TBS")</f>
        <v>TBS</v>
      </c>
      <c r="B318" s="1" t="str">
        <f>IFERROR(__xludf.DUMMYFUNCTION("""COMPUTED_VALUE"""),"티비에스")</f>
        <v>티비에스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 t="str">
        <f>IFERROR(__xludf.DUMMYFUNCTION("""COMPUTED_VALUE"""),"TELLO")</f>
        <v>TELLO</v>
      </c>
      <c r="B319" s="1" t="str">
        <f>IFERROR(__xludf.DUMMYFUNCTION("""COMPUTED_VALUE"""),"텔로")</f>
        <v>텔로</v>
      </c>
      <c r="C319" s="1" t="str">
        <f>IFERROR(__xludf.DUMMYFUNCTION("""COMPUTED_VALUE"""),"탤로")</f>
        <v>탤로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 t="str">
        <f>IFERROR(__xludf.DUMMYFUNCTION("""COMPUTED_VALUE"""),"TEMUCO")</f>
        <v>TEMUCO</v>
      </c>
      <c r="B320" s="1" t="str">
        <f>IFERROR(__xludf.DUMMYFUNCTION("""COMPUTED_VALUE"""),"테무코")</f>
        <v>테무코</v>
      </c>
      <c r="C320" s="1" t="str">
        <f>IFERROR(__xludf.DUMMYFUNCTION("""COMPUTED_VALUE"""),"태무코")</f>
        <v>태무코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 t="str">
        <f>IFERROR(__xludf.DUMMYFUNCTION("""COMPUTED_VALUE"""),"TEYS")</f>
        <v>TEYS</v>
      </c>
      <c r="B321" s="1" t="str">
        <f>IFERROR(__xludf.DUMMYFUNCTION("""COMPUTED_VALUE"""),"티스")</f>
        <v>티스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 t="str">
        <f>IFERROR(__xludf.DUMMYFUNCTION("""COMPUTED_VALUE"""),"THOMAS")</f>
        <v>THOMAS</v>
      </c>
      <c r="B322" s="1" t="str">
        <f>IFERROR(__xludf.DUMMYFUNCTION("""COMPUTED_VALUE"""),"토마스")</f>
        <v>토마스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 t="str">
        <f>IFERROR(__xludf.DUMMYFUNCTION("""COMPUTED_VALUE"""),"TICAN")</f>
        <v>TICAN</v>
      </c>
      <c r="B323" s="1" t="str">
        <f>IFERROR(__xludf.DUMMYFUNCTION("""COMPUTED_VALUE"""),"티칸")</f>
        <v>티칸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 t="str">
        <f>IFERROR(__xludf.DUMMYFUNCTION("""COMPUTED_VALUE"""),"TÖNNIES")</f>
        <v>TÖNNIES</v>
      </c>
      <c r="B324" s="1" t="str">
        <f>IFERROR(__xludf.DUMMYFUNCTION("""COMPUTED_VALUE"""),"퇴니스")</f>
        <v>퇴니스</v>
      </c>
      <c r="C324" s="1" t="str">
        <f>IFERROR(__xludf.DUMMYFUNCTION("""COMPUTED_VALUE"""),"토니스")</f>
        <v>토니스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 t="str">
        <f>IFERROR(__xludf.DUMMYFUNCTION("""COMPUTED_VALUE"""),"TRADIVAL")</f>
        <v>TRADIVAL</v>
      </c>
      <c r="B325" s="1" t="str">
        <f>IFERROR(__xludf.DUMMYFUNCTION("""COMPUTED_VALUE"""),"트라디발")</f>
        <v>트라디발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 t="str">
        <f>IFERROR(__xludf.DUMMYFUNCTION("""COMPUTED_VALUE"""),"TULIP")</f>
        <v>TULIP</v>
      </c>
      <c r="B326" s="1" t="str">
        <f>IFERROR(__xludf.DUMMYFUNCTION("""COMPUTED_VALUE"""),"툴립")</f>
        <v>툴립</v>
      </c>
      <c r="C326" s="1" t="str">
        <f>IFERROR(__xludf.DUMMYFUNCTION("""COMPUTED_VALUE"""),"튤립")</f>
        <v>튤립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 t="str">
        <f>IFERROR(__xludf.DUMMYFUNCTION("""COMPUTED_VALUE"""),"UGASA")</f>
        <v>UGASA</v>
      </c>
      <c r="B327" s="1" t="str">
        <f>IFERROR(__xludf.DUMMYFUNCTION("""COMPUTED_VALUE"""),"우가사")</f>
        <v>우가사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 t="str">
        <f>IFERROR(__xludf.DUMMYFUNCTION("""COMPUTED_VALUE"""),"ULMER")</f>
        <v>ULMER</v>
      </c>
      <c r="B328" s="1" t="str">
        <f>IFERROR(__xludf.DUMMYFUNCTION("""COMPUTED_VALUE"""),"울머")</f>
        <v>울머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 t="str">
        <f>IFERROR(__xludf.DUMMYFUNCTION("""COMPUTED_VALUE"""),"UNIBON")</f>
        <v>UNIBON</v>
      </c>
      <c r="B329" s="1" t="str">
        <f>IFERROR(__xludf.DUMMYFUNCTION("""COMPUTED_VALUE"""),"유니본")</f>
        <v>유니본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 t="str">
        <f>IFERROR(__xludf.DUMMYFUNCTION("""COMPUTED_VALUE"""),"UNIVERSAL")</f>
        <v>UNIVERSAL</v>
      </c>
      <c r="B330" s="1" t="str">
        <f>IFERROR(__xludf.DUMMYFUNCTION("""COMPUTED_VALUE"""),"유니버셜")</f>
        <v>유니버셜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 t="str">
        <f>IFERROR(__xludf.DUMMYFUNCTION("""COMPUTED_VALUE"""),"V&amp;V")</f>
        <v>V&amp;V</v>
      </c>
      <c r="B331" s="1" t="str">
        <f>IFERROR(__xludf.DUMMYFUNCTION("""COMPUTED_VALUE"""),"브이앤브이")</f>
        <v>브이앤브이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 t="str">
        <f>IFERROR(__xludf.DUMMYFUNCTION("""COMPUTED_VALUE"""),"VALLMEAT")</f>
        <v>VALLMEAT</v>
      </c>
      <c r="B332" s="1" t="str">
        <f>IFERROR(__xludf.DUMMYFUNCTION("""COMPUTED_VALUE"""),"발미트")</f>
        <v>발미트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 t="str">
        <f>IFERROR(__xludf.DUMMYFUNCTION("""COMPUTED_VALUE"""),"van HESSEN")</f>
        <v>van HESSEN</v>
      </c>
      <c r="B333" s="1" t="str">
        <f>IFERROR(__xludf.DUMMYFUNCTION("""COMPUTED_VALUE"""),"반헤센")</f>
        <v>반헤센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 t="str">
        <f>IFERROR(__xludf.DUMMYFUNCTION("""COMPUTED_VALUE"""),"VANROOI")</f>
        <v>VANROOI</v>
      </c>
      <c r="B334" s="1" t="str">
        <f>IFERROR(__xludf.DUMMYFUNCTION("""COMPUTED_VALUE"""),"반루이")</f>
        <v>반루이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 t="str">
        <f>IFERROR(__xludf.DUMMYFUNCTION("""COMPUTED_VALUE"""),"VAQUERO")</f>
        <v>VAQUERO</v>
      </c>
      <c r="B335" s="1" t="str">
        <f>IFERROR(__xludf.DUMMYFUNCTION("""COMPUTED_VALUE"""),"바케로")</f>
        <v>바케로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 t="str">
        <f>IFERROR(__xludf.DUMMYFUNCTION("""COMPUTED_VALUE"""),"VIBA")</f>
        <v>VIBA</v>
      </c>
      <c r="B336" s="1" t="str">
        <f>IFERROR(__xludf.DUMMYFUNCTION("""COMPUTED_VALUE"""),"비바")</f>
        <v>비바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 t="str">
        <f>IFERROR(__xludf.DUMMYFUNCTION("""COMPUTED_VALUE"""),"VIBRA")</f>
        <v>VIBRA</v>
      </c>
      <c r="B337" s="1" t="str">
        <f>IFERROR(__xludf.DUMMYFUNCTION("""COMPUTED_VALUE"""),"비브라")</f>
        <v>비브라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 t="str">
        <f>IFERROR(__xludf.DUMMYFUNCTION("""COMPUTED_VALUE"""),"VICTORIAVALLEY")</f>
        <v>VICTORIAVALLEY</v>
      </c>
      <c r="B338" s="1" t="str">
        <f>IFERROR(__xludf.DUMMYFUNCTION("""COMPUTED_VALUE"""),"빅토리아밸리")</f>
        <v>빅토리아밸리</v>
      </c>
      <c r="C338" s="1" t="str">
        <f>IFERROR(__xludf.DUMMYFUNCTION("""COMPUTED_VALUE"""),"빅토리아벨리")</f>
        <v>빅토리아벨리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 t="str">
        <f>IFERROR(__xludf.DUMMYFUNCTION("""COMPUTED_VALUE"""),"VIKING")</f>
        <v>VIKING</v>
      </c>
      <c r="B339" s="1" t="str">
        <f>IFERROR(__xludf.DUMMYFUNCTION("""COMPUTED_VALUE"""),"바이킹")</f>
        <v>바이킹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 t="str">
        <f>IFERROR(__xludf.DUMMYFUNCTION("""COMPUTED_VALUE"""),"VITAL")</f>
        <v>VITAL</v>
      </c>
      <c r="B340" s="1" t="str">
        <f>IFERROR(__xludf.DUMMYFUNCTION("""COMPUTED_VALUE"""),"바이탈")</f>
        <v>바이탈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 t="str">
        <f>IFERROR(__xludf.DUMMYFUNCTION("""COMPUTED_VALUE"""),"VMPG")</f>
        <v>VMPG</v>
      </c>
      <c r="B341" s="1" t="str">
        <f>IFERROR(__xludf.DUMMYFUNCTION("""COMPUTED_VALUE"""),"브이엠피지")</f>
        <v>브이엠피지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 t="str">
        <f>IFERROR(__xludf.DUMMYFUNCTION("""COMPUTED_VALUE"""),"VOGLER")</f>
        <v>VOGLER</v>
      </c>
      <c r="B342" s="1" t="str">
        <f>IFERROR(__xludf.DUMMYFUNCTION("""COMPUTED_VALUE"""),"보글러")</f>
        <v>보글러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 t="str">
        <f>IFERROR(__xludf.DUMMYFUNCTION("""COMPUTED_VALUE"""),"WAGSTAFF")</f>
        <v>WAGSTAFF</v>
      </c>
      <c r="B343" s="1" t="str">
        <f>IFERROR(__xludf.DUMMYFUNCTION("""COMPUTED_VALUE"""),"와그스태프")</f>
        <v>와그스태프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 t="str">
        <f>IFERROR(__xludf.DUMMYFUNCTION("""COMPUTED_VALUE"""),"WALLACE")</f>
        <v>WALLACE</v>
      </c>
      <c r="B344" s="1" t="str">
        <f>IFERROR(__xludf.DUMMYFUNCTION("""COMPUTED_VALUE"""),"왈라스")</f>
        <v>왈라스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 t="str">
        <f>IFERROR(__xludf.DUMMYFUNCTION("""COMPUTED_VALUE"""),"WALLUMBA")</f>
        <v>WALLUMBA</v>
      </c>
      <c r="B345" s="1" t="str">
        <f>IFERROR(__xludf.DUMMYFUNCTION("""COMPUTED_VALUE"""),"왈룸바")</f>
        <v>왈룸바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 t="str">
        <f>IFERROR(__xludf.DUMMYFUNCTION("""COMPUTED_VALUE"""),"WESTERNMEAT")</f>
        <v>WESTERNMEAT</v>
      </c>
      <c r="B346" s="1" t="str">
        <f>IFERROR(__xludf.DUMMYFUNCTION("""COMPUTED_VALUE"""),"웨스턴미트")</f>
        <v>웨스턴미트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 t="str">
        <f>IFERROR(__xludf.DUMMYFUNCTION("""COMPUTED_VALUE"""),"WESTFLEISCH")</f>
        <v>WESTFLEISCH</v>
      </c>
      <c r="B347" s="1" t="str">
        <f>IFERROR(__xludf.DUMMYFUNCTION("""COMPUTED_VALUE"""),"웨스트플라이쉬")</f>
        <v>웨스트플라이쉬</v>
      </c>
      <c r="C347" s="1" t="str">
        <f>IFERROR(__xludf.DUMMYFUNCTION("""COMPUTED_VALUE"""),"웨스트플라이시")</f>
        <v>웨스트플라이시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 t="str">
        <f>IFERROR(__xludf.DUMMYFUNCTION("""COMPUTED_VALUE"""),"WESTFORT")</f>
        <v>WESTFORT</v>
      </c>
      <c r="B348" s="1" t="str">
        <f>IFERROR(__xludf.DUMMYFUNCTION("""COMPUTED_VALUE"""),"웨스트포트")</f>
        <v>웨스트포트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 t="str">
        <f>IFERROR(__xludf.DUMMYFUNCTION("""COMPUTED_VALUE"""),"WESTVALLEY")</f>
        <v>WESTVALLEY</v>
      </c>
      <c r="B349" s="1" t="str">
        <f>IFERROR(__xludf.DUMMYFUNCTION("""COMPUTED_VALUE"""),"웨스트밸리")</f>
        <v>웨스트밸리</v>
      </c>
      <c r="C349" s="1" t="str">
        <f>IFERROR(__xludf.DUMMYFUNCTION("""COMPUTED_VALUE"""),"웨스트벨리")</f>
        <v>웨스트벨리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 t="str">
        <f>IFERROR(__xludf.DUMMYFUNCTION("""COMPUTED_VALUE"""),"WESTVLEES")</f>
        <v>WESTVLEES</v>
      </c>
      <c r="B350" s="1" t="str">
        <f>IFERROR(__xludf.DUMMYFUNCTION("""COMPUTED_VALUE"""),"웨스트블리스")</f>
        <v>웨스트블리스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 t="str">
        <f>IFERROR(__xludf.DUMMYFUNCTION("""COMPUTED_VALUE"""),"WHITEOAK")</f>
        <v>WHITEOAK</v>
      </c>
      <c r="B351" s="1" t="str">
        <f>IFERROR(__xludf.DUMMYFUNCTION("""COMPUTED_VALUE"""),"화이트오크")</f>
        <v>화이트오크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 t="str">
        <f>IFERROR(__xludf.DUMMYFUNCTION("""COMPUTED_VALUE"""),"WHOLESTONE")</f>
        <v>WHOLESTONE</v>
      </c>
      <c r="B352" s="1" t="str">
        <f>IFERROR(__xludf.DUMMYFUNCTION("""COMPUTED_VALUE"""),"홀스톤")</f>
        <v>홀스톤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 t="str">
        <f>IFERROR(__xludf.DUMMYFUNCTION("""COMPUTED_VALUE"""),"WIJNEN")</f>
        <v>WIJNEN</v>
      </c>
      <c r="B353" s="1" t="str">
        <f>IFERROR(__xludf.DUMMYFUNCTION("""COMPUTED_VALUE"""),"와이넌")</f>
        <v>와이넌</v>
      </c>
      <c r="C353" s="1" t="str">
        <f>IFERROR(__xludf.DUMMYFUNCTION("""COMPUTED_VALUE"""),"와이넨")</f>
        <v>와이넨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 t="str">
        <f>IFERROR(__xludf.DUMMYFUNCTION("""COMPUTED_VALUE"""),"WINGHAM")</f>
        <v>WINGHAM</v>
      </c>
      <c r="B354" s="1" t="str">
        <f>IFERROR(__xludf.DUMMYFUNCTION("""COMPUTED_VALUE"""),"윙햄")</f>
        <v>윙햄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 t="str">
        <f>IFERROR(__xludf.DUMMYFUNCTION("""COMPUTED_VALUE"""),"WMPG")</f>
        <v>WMPG</v>
      </c>
      <c r="B355" s="1" t="str">
        <f>IFERROR(__xludf.DUMMYFUNCTION("""COMPUTED_VALUE"""),"더블유엠피지")</f>
        <v>더블유엠피지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 t="str">
        <f>IFERROR(__xludf.DUMMYFUNCTION("""COMPUTED_VALUE"""),"WOODWARD")</f>
        <v>WOODWARD</v>
      </c>
      <c r="B356" s="1" t="str">
        <f>IFERROR(__xludf.DUMMYFUNCTION("""COMPUTED_VALUE"""),"우드워드")</f>
        <v>우드워드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 t="str">
        <f>IFERROR(__xludf.DUMMYFUNCTION("""COMPUTED_VALUE"""),"WOOLWORTHS")</f>
        <v>WOOLWORTHS</v>
      </c>
      <c r="B357" s="1" t="str">
        <f>IFERROR(__xludf.DUMMYFUNCTION("""COMPUTED_VALUE"""),"울워스")</f>
        <v>울워스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 t="str">
        <f>IFERROR(__xludf.DUMMYFUNCTION("""COMPUTED_VALUE"""),"WR")</f>
        <v>WR</v>
      </c>
      <c r="B358" s="1" t="str">
        <f>IFERROR(__xludf.DUMMYFUNCTION("""COMPUTED_VALUE"""),"더블유알")</f>
        <v>더블유알</v>
      </c>
      <c r="C358" s="1" t="str">
        <f>IFERROR(__xludf.DUMMYFUNCTION("""COMPUTED_VALUE"""),"위리저브")</f>
        <v>위리저브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 t="str">
        <f>IFERROR(__xludf.DUMMYFUNCTION("""COMPUTED_VALUE"""),"YARRAMUNDI")</f>
        <v>YARRAMUNDI</v>
      </c>
      <c r="B359" s="1" t="str">
        <f>IFERROR(__xludf.DUMMYFUNCTION("""COMPUTED_VALUE"""),"야라문디")</f>
        <v>야라문디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 t="str">
        <f>IFERROR(__xludf.DUMMYFUNCTION("""COMPUTED_VALUE"""),"YOURCHOICE")</f>
        <v>YOURCHOICE</v>
      </c>
      <c r="B360" s="1" t="str">
        <f>IFERROR(__xludf.DUMMYFUNCTION("""COMPUTED_VALUE"""),"유어초이스")</f>
        <v>유어초이스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IFERROR(__xludf.DUMMYFUNCTION("importrange(""https://docs.google.com/spreadsheets/d/1URPJEvx8LJZ_LybIiNvokUSP2e3zsyEJx9w9RDDA-lI/edit"",""[최종]품목명_한글사용!$A$2:$Z"")"),"#2등갈비")</f>
        <v>#2등갈비</v>
      </c>
      <c r="B1" s="1" t="str">
        <f>IFERROR(__xludf.DUMMYFUNCTION("""COMPUTED_VALUE"""),"#2백립")</f>
        <v>#2백립</v>
      </c>
      <c r="C1" s="1" t="str">
        <f>IFERROR(__xludf.DUMMYFUNCTION("""COMPUTED_VALUE"""),"#2빽립")</f>
        <v>#2빽립</v>
      </c>
      <c r="D1" s="1" t="str">
        <f>IFERROR(__xludf.DUMMYFUNCTION("""COMPUTED_VALUE"""),"#2탕갈비")</f>
        <v>#2탕갈비</v>
      </c>
      <c r="E1" s="1" t="str">
        <f>IFERROR(__xludf.DUMMYFUNCTION("""COMPUTED_VALUE"""),"#2뺵립")</f>
        <v>#2뺵립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 t="str">
        <f>IFERROR(__xludf.DUMMYFUNCTION("""COMPUTED_VALUE"""),"가브리")</f>
        <v>가브리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 t="str">
        <f>IFERROR(__xludf.DUMMYFUNCTION("""COMPUTED_VALUE"""),"간")</f>
        <v>간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 t="str">
        <f>IFERROR(__xludf.DUMMYFUNCTION("""COMPUTED_VALUE"""),"갈매기")</f>
        <v>갈매기</v>
      </c>
      <c r="B4" s="1" t="str">
        <f>IFERROR(__xludf.DUMMYFUNCTION("""COMPUTED_VALUE"""),"돈갈매기")</f>
        <v>돈갈매기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 t="str">
        <f>IFERROR(__xludf.DUMMYFUNCTION("""COMPUTED_VALUE"""),"일반갈비")</f>
        <v>일반갈비</v>
      </c>
      <c r="B5" s="1" t="str">
        <f>IFERROR(__xludf.DUMMYFUNCTION("""COMPUTED_VALUE"""),"갈비")</f>
        <v>갈비</v>
      </c>
      <c r="C5" s="1" t="str">
        <f>IFERROR(__xludf.DUMMYFUNCTION("""COMPUTED_VALUE"""),"LA갈비")</f>
        <v>LA갈비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 t="str">
        <f>IFERROR(__xludf.DUMMYFUNCTION("""COMPUTED_VALUE"""),"갈비덧살")</f>
        <v>갈비덧살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 t="str">
        <f>IFERROR(__xludf.DUMMYFUNCTION("""COMPUTED_VALUE"""),"갈비본살")</f>
        <v>갈비본살</v>
      </c>
      <c r="B7" s="1" t="str">
        <f>IFERROR(__xludf.DUMMYFUNCTION("""COMPUTED_VALUE"""),"본갈비살")</f>
        <v>본갈비살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 t="str">
        <f>IFERROR(__xludf.DUMMYFUNCTION("""COMPUTED_VALUE"""),"가루비플레이트")</f>
        <v>가루비플레이트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 t="str">
        <f>IFERROR(__xludf.DUMMYFUNCTION("""COMPUTED_VALUE"""),"곱창")</f>
        <v>곱창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 t="str">
        <f>IFERROR(__xludf.DUMMYFUNCTION("""COMPUTED_VALUE"""),"근막")</f>
        <v>근막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 t="str">
        <f>IFERROR(__xludf.DUMMYFUNCTION("""COMPUTED_VALUE"""),"근위")</f>
        <v>근위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 t="str">
        <f>IFERROR(__xludf.DUMMYFUNCTION("""COMPUTED_VALUE"""),"깐양")</f>
        <v>깐양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 t="str">
        <f>IFERROR(__xludf.DUMMYFUNCTION("""COMPUTED_VALUE"""),"꼬리")</f>
        <v>꼬리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 t="str">
        <f>IFERROR(__xludf.DUMMYFUNCTION("""COMPUTED_VALUE"""),"꼬리반골")</f>
        <v>꼬리반골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 t="str">
        <f>IFERROR(__xludf.DUMMYFUNCTION("""COMPUTED_VALUE"""),"꾸리살")</f>
        <v>꾸리살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 t="str">
        <f>IFERROR(__xludf.DUMMYFUNCTION("""COMPUTED_VALUE"""),"끝갈비")</f>
        <v>끝갈비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 t="str">
        <f>IFERROR(__xludf.DUMMYFUNCTION("""COMPUTED_VALUE"""),"끝목심")</f>
        <v>끝목심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 t="str">
        <f>IFERROR(__xludf.DUMMYFUNCTION("""COMPUTED_VALUE"""),"끝홍창")</f>
        <v>끝홍창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 t="str">
        <f>IFERROR(__xludf.DUMMYFUNCTION("""COMPUTED_VALUE"""),"늑간")</f>
        <v>늑간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 t="str">
        <f>IFERROR(__xludf.DUMMYFUNCTION("""COMPUTED_VALUE"""),"단족")</f>
        <v>단족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 t="str">
        <f>IFERROR(__xludf.DUMMYFUNCTION("""COMPUTED_VALUE"""),"닭가슴살")</f>
        <v>닭가슴살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 t="str">
        <f>IFERROR(__xludf.DUMMYFUNCTION("""COMPUTED_VALUE"""),"닭날개")</f>
        <v>닭날개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 t="str">
        <f>IFERROR(__xludf.DUMMYFUNCTION("""COMPUTED_VALUE"""),"닭다리정육")</f>
        <v>닭다리정육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 t="str">
        <f>IFERROR(__xludf.DUMMYFUNCTION("""COMPUTED_VALUE"""),"닭무릎연골")</f>
        <v>닭무릎연골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 t="str">
        <f>IFERROR(__xludf.DUMMYFUNCTION("""COMPUTED_VALUE"""),"닭미들윙")</f>
        <v>닭미들윙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 t="str">
        <f>IFERROR(__xludf.DUMMYFUNCTION("""COMPUTED_VALUE"""),"닭발")</f>
        <v>닭발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 t="str">
        <f>IFERROR(__xludf.DUMMYFUNCTION("""COMPUTED_VALUE"""),"닭봉")</f>
        <v>닭봉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 t="str">
        <f>IFERROR(__xludf.DUMMYFUNCTION("""COMPUTED_VALUE"""),"닭장각")</f>
        <v>닭장각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 t="str">
        <f>IFERROR(__xludf.DUMMYFUNCTION("""COMPUTED_VALUE"""),"닭정육")</f>
        <v>닭정육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 t="str">
        <f>IFERROR(__xludf.DUMMYFUNCTION("""COMPUTED_VALUE"""),"닭조각정육")</f>
        <v>닭조각정육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 t="str">
        <f>IFERROR(__xludf.DUMMYFUNCTION("""COMPUTED_VALUE"""),"닭통날개")</f>
        <v>닭통날개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 t="str">
        <f>IFERROR(__xludf.DUMMYFUNCTION("""COMPUTED_VALUE"""),"대동맥")</f>
        <v>대동맥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 t="str">
        <f>IFERROR(__xludf.DUMMYFUNCTION("""COMPUTED_VALUE"""),"대창")</f>
        <v>대창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 t="str">
        <f>IFERROR(__xludf.DUMMYFUNCTION("""COMPUTED_VALUE"""),"데클")</f>
        <v>데클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 t="str">
        <f>IFERROR(__xludf.DUMMYFUNCTION("""COMPUTED_VALUE"""),"델모니카")</f>
        <v>델모니카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 t="str">
        <f>IFERROR(__xludf.DUMMYFUNCTION("""COMPUTED_VALUE"""),"도가니")</f>
        <v>도가니</v>
      </c>
      <c r="B36" s="1" t="str">
        <f>IFERROR(__xludf.DUMMYFUNCTION("""COMPUTED_VALUE"""),"도가니뼈")</f>
        <v>도가니뼈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 t="str">
        <f>IFERROR(__xludf.DUMMYFUNCTION("""COMPUTED_VALUE"""),"돈갈비")</f>
        <v>돈갈비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 t="str">
        <f>IFERROR(__xludf.DUMMYFUNCTION("""COMPUTED_VALUE"""),"로인립")</f>
        <v>로인립</v>
      </c>
      <c r="B38" s="1" t="str">
        <f>IFERROR(__xludf.DUMMYFUNCTION("""COMPUTED_VALUE"""),"돈등갈비")</f>
        <v>돈등갈비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 t="str">
        <f>IFERROR(__xludf.DUMMYFUNCTION("""COMPUTED_VALUE"""),"돈등뼈")</f>
        <v>돈등뼈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 t="str">
        <f>IFERROR(__xludf.DUMMYFUNCTION("""COMPUTED_VALUE"""),"돈등심")</f>
        <v>돈등심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 t="str">
        <f>IFERROR(__xludf.DUMMYFUNCTION("""COMPUTED_VALUE"""),"돈마스크")</f>
        <v>돈마스크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 t="str">
        <f>IFERROR(__xludf.DUMMYFUNCTION("""COMPUTED_VALUE"""),"돈마호크")</f>
        <v>돈마호크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 t="str">
        <f>IFERROR(__xludf.DUMMYFUNCTION("""COMPUTED_VALUE"""),"돈막창")</f>
        <v>돈막창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 t="str">
        <f>IFERROR(__xludf.DUMMYFUNCTION("""COMPUTED_VALUE"""),"돈목뼈")</f>
        <v>돈목뼈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 t="str">
        <f>IFERROR(__xludf.DUMMYFUNCTION("""COMPUTED_VALUE"""),"돈볼살")</f>
        <v>돈볼살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 t="str">
        <f>IFERROR(__xludf.DUMMYFUNCTION("""COMPUTED_VALUE"""),"뼈등심")</f>
        <v>뼈등심</v>
      </c>
      <c r="B46" s="1" t="str">
        <f>IFERROR(__xludf.DUMMYFUNCTION("""COMPUTED_VALUE"""),"돈뼈등심")</f>
        <v>돈뼈등심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 t="str">
        <f>IFERROR(__xludf.DUMMYFUNCTION("""COMPUTED_VALUE"""),"돈스페어립")</f>
        <v>돈스페어립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 t="str">
        <f>IFERROR(__xludf.DUMMYFUNCTION("""COMPUTED_VALUE"""),"돈신장")</f>
        <v>돈신장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 t="str">
        <f>IFERROR(__xludf.DUMMYFUNCTION("""COMPUTED_VALUE"""),"우데전지")</f>
        <v>우데전지</v>
      </c>
      <c r="B49" s="1" t="str">
        <f>IFERROR(__xludf.DUMMYFUNCTION("""COMPUTED_VALUE"""),"우대전지")</f>
        <v>우대전지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 t="str">
        <f>IFERROR(__xludf.DUMMYFUNCTION("""COMPUTED_VALUE"""),"오소리감투")</f>
        <v>오소리감투</v>
      </c>
      <c r="B50" s="1" t="str">
        <f>IFERROR(__xludf.DUMMYFUNCTION("""COMPUTED_VALUE"""),"돈위")</f>
        <v>돈위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 t="str">
        <f>IFERROR(__xludf.DUMMYFUNCTION("""COMPUTED_VALUE"""),"돈잡육")</f>
        <v>돈잡육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 t="str">
        <f>IFERROR(__xludf.DUMMYFUNCTION("""COMPUTED_VALUE"""),"돈지방")</f>
        <v>돈지방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 t="str">
        <f>IFERROR(__xludf.DUMMYFUNCTION("""COMPUTED_VALUE"""),"돈차돌박이")</f>
        <v>돈차돌박이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 t="str">
        <f>IFERROR(__xludf.DUMMYFUNCTION("""COMPUTED_VALUE"""),"돈채끝")</f>
        <v>돈채끝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 t="str">
        <f>IFERROR(__xludf.DUMMYFUNCTION("""COMPUTED_VALUE"""),"돈피")</f>
        <v>돈피</v>
      </c>
      <c r="B55" s="1" t="str">
        <f>IFERROR(__xludf.DUMMYFUNCTION("""COMPUTED_VALUE"""),"껍데기")</f>
        <v>껍데기</v>
      </c>
      <c r="C55" s="1" t="str">
        <f>IFERROR(__xludf.DUMMYFUNCTION("""COMPUTED_VALUE"""),"돼지껍데기")</f>
        <v>돼지껍데기</v>
      </c>
      <c r="D55" s="1" t="str">
        <f>IFERROR(__xludf.DUMMYFUNCTION("""COMPUTED_VALUE"""),"껍대기")</f>
        <v>껍대기</v>
      </c>
      <c r="E55" s="1" t="str">
        <f>IFERROR(__xludf.DUMMYFUNCTION("""COMPUTED_VALUE"""),"돼지껍대기")</f>
        <v>돼지껍대기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 t="str">
        <f>IFERROR(__xludf.DUMMYFUNCTION("""COMPUTED_VALUE"""),"돈학")</f>
        <v>돈학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 t="str">
        <f>IFERROR(__xludf.DUMMYFUNCTION("""COMPUTED_VALUE"""),"동맥")</f>
        <v>동맥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 t="str">
        <f>IFERROR(__xludf.DUMMYFUNCTION("""COMPUTED_VALUE"""),"돼지머리")</f>
        <v>돼지머리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 t="str">
        <f>IFERROR(__xludf.DUMMYFUNCTION("""COMPUTED_VALUE"""),"돼지코")</f>
        <v>돼지코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 t="str">
        <f>IFERROR(__xludf.DUMMYFUNCTION("""COMPUTED_VALUE"""),"뒤쪽사골")</f>
        <v>뒤쪽사골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 t="str">
        <f>IFERROR(__xludf.DUMMYFUNCTION("""COMPUTED_VALUE"""),"뒷다리")</f>
        <v>뒷다리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 t="str">
        <f>IFERROR(__xludf.DUMMYFUNCTION("""COMPUTED_VALUE"""),"뒷사태")</f>
        <v>뒷사태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 t="str">
        <f>IFERROR(__xludf.DUMMYFUNCTION("""COMPUTED_VALUE"""),"뒷스지")</f>
        <v>뒷스지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 t="str">
        <f>IFERROR(__xludf.DUMMYFUNCTION("""COMPUTED_VALUE"""),"뒷왕사골")</f>
        <v>뒷왕사골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 t="str">
        <f>IFERROR(__xludf.DUMMYFUNCTION("""COMPUTED_VALUE"""),"뒷우건")</f>
        <v>뒷우건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 t="str">
        <f>IFERROR(__xludf.DUMMYFUNCTION("""COMPUTED_VALUE"""),"등갈비")</f>
        <v>등갈비</v>
      </c>
      <c r="B66" s="1" t="str">
        <f>IFERROR(__xludf.DUMMYFUNCTION("""COMPUTED_VALUE"""),"백립")</f>
        <v>백립</v>
      </c>
      <c r="C66" s="1" t="str">
        <f>IFERROR(__xludf.DUMMYFUNCTION("""COMPUTED_VALUE"""),"빽립")</f>
        <v>빽립</v>
      </c>
      <c r="D66" s="1" t="str">
        <f>IFERROR(__xludf.DUMMYFUNCTION("""COMPUTED_VALUE"""),"탕갈비")</f>
        <v>탕갈비</v>
      </c>
      <c r="E66" s="1" t="str">
        <f>IFERROR(__xludf.DUMMYFUNCTION("""COMPUTED_VALUE"""),"뺵립")</f>
        <v>뺵립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 t="str">
        <f>IFERROR(__xludf.DUMMYFUNCTION("""COMPUTED_VALUE"""),"등뼈")</f>
        <v>등뼈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 t="str">
        <f>IFERROR(__xludf.DUMMYFUNCTION("""COMPUTED_VALUE"""),"등심")</f>
        <v>등심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 t="str">
        <f>IFERROR(__xludf.DUMMYFUNCTION("""COMPUTED_VALUE"""),"등심추리")</f>
        <v>등심추리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 t="str">
        <f>IFERROR(__xludf.DUMMYFUNCTION("""COMPUTED_VALUE"""),"등잡")</f>
        <v>등잡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 t="str">
        <f>IFERROR(__xludf.DUMMYFUNCTION("""COMPUTED_VALUE"""),"등지방")</f>
        <v>등지방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 t="str">
        <f>IFERROR(__xludf.DUMMYFUNCTION("""COMPUTED_VALUE"""),"떡심")</f>
        <v>떡심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 t="str">
        <f>IFERROR(__xludf.DUMMYFUNCTION("""COMPUTED_VALUE"""),"럼프캡")</f>
        <v>럼프캡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 t="str">
        <f>IFERROR(__xludf.DUMMYFUNCTION("""COMPUTED_VALUE"""),"레드미트")</f>
        <v>레드미트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 t="str">
        <f>IFERROR(__xludf.DUMMYFUNCTION("""COMPUTED_VALUE"""),"로스트비프")</f>
        <v>로스트비프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 t="str">
        <f>IFERROR(__xludf.DUMMYFUNCTION("""COMPUTED_VALUE"""),"로인테일")</f>
        <v>로인테일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 t="str">
        <f>IFERROR(__xludf.DUMMYFUNCTION("""COMPUTED_VALUE"""),"롱늑간")</f>
        <v>롱늑간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 t="str">
        <f>IFERROR(__xludf.DUMMYFUNCTION("""COMPUTED_VALUE"""),"리블렛")</f>
        <v>리블렛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 t="str">
        <f>IFERROR(__xludf.DUMMYFUNCTION("""COMPUTED_VALUE"""),"립엔드")</f>
        <v>립엔드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 t="str">
        <f>IFERROR(__xludf.DUMMYFUNCTION("""COMPUTED_VALUE"""),"립캡플레이트")</f>
        <v>립캡플레이트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 t="str">
        <f>IFERROR(__xludf.DUMMYFUNCTION("""COMPUTED_VALUE"""),"립피스")</f>
        <v>립피스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 t="str">
        <f>IFERROR(__xludf.DUMMYFUNCTION("""COMPUTED_VALUE"""),"마구리")</f>
        <v>마구리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 t="str">
        <f>IFERROR(__xludf.DUMMYFUNCTION("""COMPUTED_VALUE"""),"머릿고기")</f>
        <v>머릿고기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 t="str">
        <f>IFERROR(__xludf.DUMMYFUNCTION("""COMPUTED_VALUE"""),"모돈등심")</f>
        <v>모돈등심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 t="str">
        <f>IFERROR(__xludf.DUMMYFUNCTION("""COMPUTED_VALUE"""),"모돈로인립")</f>
        <v>모돈로인립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 t="str">
        <f>IFERROR(__xludf.DUMMYFUNCTION("""COMPUTED_VALUE"""),"모돈삼겹")</f>
        <v>모돈삼겹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 t="str">
        <f>IFERROR(__xludf.DUMMYFUNCTION("""COMPUTED_VALUE"""),"모돈스페어립")</f>
        <v>모돈스페어립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 t="str">
        <f>IFERROR(__xludf.DUMMYFUNCTION("""COMPUTED_VALUE"""),"목덜미살")</f>
        <v>목덜미살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 t="str">
        <f>IFERROR(__xludf.DUMMYFUNCTION("""COMPUTED_VALUE"""),"목살")</f>
        <v>목살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 t="str">
        <f>IFERROR(__xludf.DUMMYFUNCTION("""COMPUTED_VALUE"""),"목심")</f>
        <v>목심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 t="str">
        <f>IFERROR(__xludf.DUMMYFUNCTION("""COMPUTED_VALUE"""),"목심덧살")</f>
        <v>목심덧살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 t="str">
        <f>IFERROR(__xludf.DUMMYFUNCTION("""COMPUTED_VALUE"""),"목잡")</f>
        <v>목잡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 t="str">
        <f>IFERROR(__xludf.DUMMYFUNCTION("""COMPUTED_VALUE"""),"목전지")</f>
        <v>목전지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 t="str">
        <f>IFERROR(__xludf.DUMMYFUNCTION("""COMPUTED_VALUE"""),"무뼈닭발")</f>
        <v>무뼈닭발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 t="str">
        <f>IFERROR(__xludf.DUMMYFUNCTION("""COMPUTED_VALUE"""),"무연골삼겹")</f>
        <v>무연골삼겹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 t="str">
        <f>IFERROR(__xludf.DUMMYFUNCTION("""COMPUTED_VALUE"""),"뭉치사태")</f>
        <v>뭉치사태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 t="str">
        <f>IFERROR(__xludf.DUMMYFUNCTION("""COMPUTED_VALUE"""),"미니목살")</f>
        <v>미니목살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 t="str">
        <f>IFERROR(__xludf.DUMMYFUNCTION("""COMPUTED_VALUE"""),"미니족")</f>
        <v>미니족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 t="str">
        <f>IFERROR(__xludf.DUMMYFUNCTION("""COMPUTED_VALUE"""),"미박목살")</f>
        <v>미박목살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 t="str">
        <f>IFERROR(__xludf.DUMMYFUNCTION("""COMPUTED_VALUE"""),"미박뼈삼겹")</f>
        <v>미박뼈삼겹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 t="str">
        <f>IFERROR(__xludf.DUMMYFUNCTION("""COMPUTED_VALUE"""),"미박사태")</f>
        <v>미박사태</v>
      </c>
      <c r="B101" s="1" t="str">
        <f>IFERROR(__xludf.DUMMYFUNCTION("""COMPUTED_VALUE"""),"미사태")</f>
        <v>미사태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 t="str">
        <f>IFERROR(__xludf.DUMMYFUNCTION("""COMPUTED_VALUE"""),"미박삼겹")</f>
        <v>미박삼겹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 t="str">
        <f>IFERROR(__xludf.DUMMYFUNCTION("""COMPUTED_VALUE"""),"미박전지")</f>
        <v>미박전지</v>
      </c>
      <c r="B103" s="1" t="str">
        <f>IFERROR(__xludf.DUMMYFUNCTION("""COMPUTED_VALUE"""),"미전지")</f>
        <v>미전지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 t="str">
        <f>IFERROR(__xludf.DUMMYFUNCTION("""COMPUTED_VALUE"""),"미티등갈비")</f>
        <v>미티등갈비</v>
      </c>
      <c r="B104" s="1" t="str">
        <f>IFERROR(__xludf.DUMMYFUNCTION("""COMPUTED_VALUE"""),"미티백립")</f>
        <v>미티백립</v>
      </c>
      <c r="C104" s="1" t="str">
        <f>IFERROR(__xludf.DUMMYFUNCTION("""COMPUTED_VALUE"""),"미티빽립")</f>
        <v>미티빽립</v>
      </c>
      <c r="D104" s="1" t="str">
        <f>IFERROR(__xludf.DUMMYFUNCTION("""COMPUTED_VALUE"""),"미티탕갈비")</f>
        <v>미티탕갈비</v>
      </c>
      <c r="E104" s="1" t="str">
        <f>IFERROR(__xludf.DUMMYFUNCTION("""COMPUTED_VALUE"""),"미티뺵립")</f>
        <v>미티뺵립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 t="str">
        <f>IFERROR(__xludf.DUMMYFUNCTION("""COMPUTED_VALUE"""),"미박후지")</f>
        <v>미박후지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 t="str">
        <f>IFERROR(__xludf.DUMMYFUNCTION("""COMPUTED_VALUE"""),"박피뼈삼겹")</f>
        <v>박피뼈삼겹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 t="str">
        <f>IFERROR(__xludf.DUMMYFUNCTION("""COMPUTED_VALUE"""),"박피삼겹")</f>
        <v>박피삼겹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 t="str">
        <f>IFERROR(__xludf.DUMMYFUNCTION("""COMPUTED_VALUE"""),"박피전지")</f>
        <v>박피전지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 t="str">
        <f>IFERROR(__xludf.DUMMYFUNCTION("""COMPUTED_VALUE"""),"박피후지")</f>
        <v>박피후지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 t="str">
        <f>IFERROR(__xludf.DUMMYFUNCTION("""COMPUTED_VALUE"""),"반골")</f>
        <v>반골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 t="str">
        <f>IFERROR(__xludf.DUMMYFUNCTION("""COMPUTED_VALUE"""),"반골잡뼈")</f>
        <v>반골잡뼈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 t="str">
        <f>IFERROR(__xludf.DUMMYFUNCTION("""COMPUTED_VALUE"""),"배받이살")</f>
        <v>배받이살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 t="str">
        <f>IFERROR(__xludf.DUMMYFUNCTION("""COMPUTED_VALUE"""),"베이비로인립")</f>
        <v>베이비로인립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 t="str">
        <f>IFERROR(__xludf.DUMMYFUNCTION("""COMPUTED_VALUE"""),"베이비립")</f>
        <v>베이비립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 t="str">
        <f>IFERROR(__xludf.DUMMYFUNCTION("""COMPUTED_VALUE"""),"보섭살")</f>
        <v>보섭살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 t="str">
        <f>IFERROR(__xludf.DUMMYFUNCTION("""COMPUTED_VALUE"""),"볼라전각")</f>
        <v>볼라전각</v>
      </c>
      <c r="B116" s="1" t="str">
        <f>IFERROR(__xludf.DUMMYFUNCTION("""COMPUTED_VALUE"""),"볼라")</f>
        <v>볼라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 t="str">
        <f>IFERROR(__xludf.DUMMYFUNCTION("""COMPUTED_VALUE"""),"볼살")</f>
        <v>볼살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 t="str">
        <f>IFERROR(__xludf.DUMMYFUNCTION("""COMPUTED_VALUE"""),"볼팁")</f>
        <v>볼팁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 t="str">
        <f>IFERROR(__xludf.DUMMYFUNCTION("""COMPUTED_VALUE"""),"부채")</f>
        <v>부채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 t="str">
        <f>IFERROR(__xludf.DUMMYFUNCTION("""COMPUTED_VALUE"""),"블럭컷")</f>
        <v>블럭컷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 t="str">
        <f>IFERROR(__xludf.DUMMYFUNCTION("""COMPUTED_VALUE"""),"블럭컷목심")</f>
        <v>블럭컷목심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 t="str">
        <f>IFERROR(__xludf.DUMMYFUNCTION("""COMPUTED_VALUE"""),"블럭컷알목심")</f>
        <v>블럭컷알목심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 t="str">
        <f>IFERROR(__xludf.DUMMYFUNCTION("""COMPUTED_VALUE"""),"뼈목살")</f>
        <v>뼈목살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 t="str">
        <f>IFERROR(__xludf.DUMMYFUNCTION("""COMPUTED_VALUE"""),"뼈미박삼겹")</f>
        <v>뼈미박삼겹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 t="str">
        <f>IFERROR(__xludf.DUMMYFUNCTION("""COMPUTED_VALUE"""),"뼈사태")</f>
        <v>뼈사태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 t="str">
        <f>IFERROR(__xludf.DUMMYFUNCTION("""COMPUTED_VALUE"""),"뼈삼겹")</f>
        <v>뼈삼겹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 t="str">
        <f>IFERROR(__xludf.DUMMYFUNCTION("""COMPUTED_VALUE"""),"쁘띠텐더")</f>
        <v>쁘띠텐더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 t="str">
        <f>IFERROR(__xludf.DUMMYFUNCTION("""COMPUTED_VALUE"""),"사골")</f>
        <v>사골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 t="str">
        <f>IFERROR(__xludf.DUMMYFUNCTION("""COMPUTED_VALUE"""),"사태")</f>
        <v>사태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 t="str">
        <f>IFERROR(__xludf.DUMMYFUNCTION("""COMPUTED_VALUE"""),"살치")</f>
        <v>살치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 t="str">
        <f>IFERROR(__xludf.DUMMYFUNCTION("""COMPUTED_VALUE"""),"삼각살")</f>
        <v>삼각살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 t="str">
        <f>IFERROR(__xludf.DUMMYFUNCTION("""COMPUTED_VALUE"""),"삼겹")</f>
        <v>삼겹</v>
      </c>
      <c r="B132" s="1" t="str">
        <f>IFERROR(__xludf.DUMMYFUNCTION("""COMPUTED_VALUE"""),"삼겹살")</f>
        <v>삼겹살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 t="str">
        <f>IFERROR(__xludf.DUMMYFUNCTION("""COMPUTED_VALUE"""),"삼겹양지")</f>
        <v>삼겹양지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 t="str">
        <f>IFERROR(__xludf.DUMMYFUNCTION("""COMPUTED_VALUE"""),"상단홍창")</f>
        <v>상단홍창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 t="str">
        <f>IFERROR(__xludf.DUMMYFUNCTION("""COMPUTED_VALUE"""),"설깃")</f>
        <v>설깃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 t="str">
        <f>IFERROR(__xludf.DUMMYFUNCTION("""COMPUTED_VALUE"""),"설도")</f>
        <v>설도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 t="str">
        <f>IFERROR(__xludf.DUMMYFUNCTION("""COMPUTED_VALUE"""),"센터컷등갈비")</f>
        <v>센터컷등갈비</v>
      </c>
      <c r="B137" s="1" t="str">
        <f>IFERROR(__xludf.DUMMYFUNCTION("""COMPUTED_VALUE"""),"센터컷백립")</f>
        <v>센터컷백립</v>
      </c>
      <c r="C137" s="1" t="str">
        <f>IFERROR(__xludf.DUMMYFUNCTION("""COMPUTED_VALUE"""),"센터컷빽립")</f>
        <v>센터컷빽립</v>
      </c>
      <c r="D137" s="1" t="str">
        <f>IFERROR(__xludf.DUMMYFUNCTION("""COMPUTED_VALUE"""),"센터컷탕갈비")</f>
        <v>센터컷탕갈비</v>
      </c>
      <c r="E137" s="1" t="str">
        <f>IFERROR(__xludf.DUMMYFUNCTION("""COMPUTED_VALUE"""),"센터컷뺵립")</f>
        <v>센터컷뺵립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 t="str">
        <f>IFERROR(__xludf.DUMMYFUNCTION("""COMPUTED_VALUE"""),"소간")</f>
        <v>소간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 t="str">
        <f>IFERROR(__xludf.DUMMYFUNCTION("""COMPUTED_VALUE"""),"송아지꼬리")</f>
        <v>송아지꼬리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 t="str">
        <f>IFERROR(__xludf.DUMMYFUNCTION("""COMPUTED_VALUE"""),"송아지목뼈")</f>
        <v>송아지목뼈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 t="str">
        <f>IFERROR(__xludf.DUMMYFUNCTION("""COMPUTED_VALUE"""),"송아지척갈비")</f>
        <v>송아지척갈비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 t="str">
        <f>IFERROR(__xludf.DUMMYFUNCTION("""COMPUTED_VALUE"""),"숏늑간")</f>
        <v>숏늑간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 t="str">
        <f>IFERROR(__xludf.DUMMYFUNCTION("""COMPUTED_VALUE"""),"숏로인")</f>
        <v>숏로인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 t="str">
        <f>IFERROR(__xludf.DUMMYFUNCTION("""COMPUTED_VALUE"""),"숏립")</f>
        <v>숏립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 t="str">
        <f>IFERROR(__xludf.DUMMYFUNCTION("""COMPUTED_VALUE"""),"숏립본")</f>
        <v>숏립본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 t="str">
        <f>IFERROR(__xludf.DUMMYFUNCTION("""COMPUTED_VALUE"""),"숏목살")</f>
        <v>숏목살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 t="str">
        <f>IFERROR(__xludf.DUMMYFUNCTION("""COMPUTED_VALUE"""),"숏컷알목")</f>
        <v>숏컷알목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 t="str">
        <f>IFERROR(__xludf.DUMMYFUNCTION("""COMPUTED_VALUE"""),"스지")</f>
        <v>스지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 t="str">
        <f>IFERROR(__xludf.DUMMYFUNCTION("""COMPUTED_VALUE"""),"스페어립")</f>
        <v>스페어립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 t="str">
        <f>IFERROR(__xludf.DUMMYFUNCTION("""COMPUTED_VALUE"""),"스페어숏립")</f>
        <v>스페어숏립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 t="str">
        <f>IFERROR(__xludf.DUMMYFUNCTION("""COMPUTED_VALUE"""),"식도근")</f>
        <v>식도근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 t="str">
        <f>IFERROR(__xludf.DUMMYFUNCTION("""COMPUTED_VALUE"""),"아롱사태")</f>
        <v>아롱사태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 t="str">
        <f>IFERROR(__xludf.DUMMYFUNCTION("""COMPUTED_VALUE"""),"아바니코")</f>
        <v>아바니코</v>
      </c>
      <c r="B153" s="1" t="str">
        <f>IFERROR(__xludf.DUMMYFUNCTION("""COMPUTED_VALUE"""),"아바니꼬")</f>
        <v>아바니꼬</v>
      </c>
      <c r="C153" s="1" t="str">
        <f>IFERROR(__xludf.DUMMYFUNCTION("""COMPUTED_VALUE"""),"부채살")</f>
        <v>부채살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 t="str">
        <f>IFERROR(__xludf.DUMMYFUNCTION("""COMPUTED_VALUE"""),"악어살")</f>
        <v>악어살</v>
      </c>
      <c r="B154" s="1" t="str">
        <f>IFERROR(__xludf.DUMMYFUNCTION("""COMPUTED_VALUE"""),"갈매기살")</f>
        <v>갈매기살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 t="str">
        <f>IFERROR(__xludf.DUMMYFUNCTION("""COMPUTED_VALUE"""),"안심")</f>
        <v>안심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 t="str">
        <f>IFERROR(__xludf.DUMMYFUNCTION("""COMPUTED_VALUE"""),"안심날개")</f>
        <v>안심날개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 t="str">
        <f>IFERROR(__xludf.DUMMYFUNCTION("""COMPUTED_VALUE"""),"안심추리")</f>
        <v>안심추리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 t="str">
        <f>IFERROR(__xludf.DUMMYFUNCTION("""COMPUTED_VALUE"""),"안창")</f>
        <v>안창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 t="str">
        <f>IFERROR(__xludf.DUMMYFUNCTION("""COMPUTED_VALUE"""),"알등심")</f>
        <v>알등심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 t="str">
        <f>IFERROR(__xludf.DUMMYFUNCTION("""COMPUTED_VALUE"""),"알막창")</f>
        <v>알막창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 t="str">
        <f>IFERROR(__xludf.DUMMYFUNCTION("""COMPUTED_VALUE"""),"알목심")</f>
        <v>알목심</v>
      </c>
      <c r="B161" s="1" t="str">
        <f>IFERROR(__xludf.DUMMYFUNCTION("""COMPUTED_VALUE"""),"척아이롤")</f>
        <v>척아이롤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 t="str">
        <f>IFERROR(__xludf.DUMMYFUNCTION("""COMPUTED_VALUE"""),"알사태")</f>
        <v>알사태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 t="str">
        <f>IFERROR(__xludf.DUMMYFUNCTION("""COMPUTED_VALUE"""),"알전각")</f>
        <v>알전각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 t="str">
        <f>IFERROR(__xludf.DUMMYFUNCTION("""COMPUTED_VALUE"""),"알치마")</f>
        <v>알치마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 t="str">
        <f>IFERROR(__xludf.DUMMYFUNCTION("""COMPUTED_VALUE"""),"앞다리")</f>
        <v>앞다리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 t="str">
        <f>IFERROR(__xludf.DUMMYFUNCTION("""COMPUTED_VALUE"""),"앞사태")</f>
        <v>앞사태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 t="str">
        <f>IFERROR(__xludf.DUMMYFUNCTION("""COMPUTED_VALUE"""),"앞스지")</f>
        <v>앞스지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 t="str">
        <f>IFERROR(__xludf.DUMMYFUNCTION("""COMPUTED_VALUE"""),"앞양지")</f>
        <v>앞양지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 t="str">
        <f>IFERROR(__xludf.DUMMYFUNCTION("""COMPUTED_VALUE"""),"앞왕사골")</f>
        <v>앞왕사골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 t="str">
        <f>IFERROR(__xludf.DUMMYFUNCTION("""COMPUTED_VALUE"""),"앞우건")</f>
        <v>앞우건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 t="str">
        <f>IFERROR(__xludf.DUMMYFUNCTION("""COMPUTED_VALUE"""),"앞장족")</f>
        <v>앞장족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 t="str">
        <f>IFERROR(__xludf.DUMMYFUNCTION("""COMPUTED_VALUE"""),"앞치마")</f>
        <v>앞치마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 t="str">
        <f>IFERROR(__xludf.DUMMYFUNCTION("""COMPUTED_VALUE"""),"앞학")</f>
        <v>앞학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 t="str">
        <f>IFERROR(__xludf.DUMMYFUNCTION("""COMPUTED_VALUE"""),"애기보")</f>
        <v>애기보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 t="str">
        <f>IFERROR(__xludf.DUMMYFUNCTION("""COMPUTED_VALUE"""),"양갈비")</f>
        <v>양갈비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 t="str">
        <f>IFERROR(__xludf.DUMMYFUNCTION("""COMPUTED_VALUE"""),"양깃머리")</f>
        <v>양깃머리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 t="str">
        <f>IFERROR(__xludf.DUMMYFUNCTION("""COMPUTED_VALUE"""),"양늑간")</f>
        <v>양늑간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 t="str">
        <f>IFERROR(__xludf.DUMMYFUNCTION("""COMPUTED_VALUE"""),"양다리")</f>
        <v>양다리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 t="str">
        <f>IFERROR(__xludf.DUMMYFUNCTION("""COMPUTED_VALUE"""),"양다리살")</f>
        <v>양다리살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 t="str">
        <f>IFERROR(__xludf.DUMMYFUNCTION("""COMPUTED_VALUE"""),"양대창")</f>
        <v>양대창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 t="str">
        <f>IFERROR(__xludf.DUMMYFUNCTION("""COMPUTED_VALUE"""),"양등심")</f>
        <v>양등심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 t="str">
        <f>IFERROR(__xludf.DUMMYFUNCTION("""COMPUTED_VALUE"""),"양럼프캡")</f>
        <v>양럼프캡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 t="str">
        <f>IFERROR(__xludf.DUMMYFUNCTION("""COMPUTED_VALUE"""),"양목뼈")</f>
        <v>양목뼈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 t="str">
        <f>IFERROR(__xludf.DUMMYFUNCTION("""COMPUTED_VALUE"""),"양목심")</f>
        <v>양목심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 t="str">
        <f>IFERROR(__xludf.DUMMYFUNCTION("""COMPUTED_VALUE"""),"양뼈사태")</f>
        <v>양뼈사태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 t="str">
        <f>IFERROR(__xludf.DUMMYFUNCTION("""COMPUTED_VALUE"""),"양뼈앞사태")</f>
        <v>양뼈앞사태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 t="str">
        <f>IFERROR(__xludf.DUMMYFUNCTION("""COMPUTED_VALUE"""),"양사각갈비")</f>
        <v>양사각갈비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 t="str">
        <f>IFERROR(__xludf.DUMMYFUNCTION("""COMPUTED_VALUE"""),"양사태살")</f>
        <v>양사태살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 t="str">
        <f>IFERROR(__xludf.DUMMYFUNCTION("""COMPUTED_VALUE"""),"양숄더랙")</f>
        <v>양숄더랙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 t="str">
        <f>IFERROR(__xludf.DUMMYFUNCTION("""COMPUTED_VALUE"""),"양숏로인")</f>
        <v>양숏로인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 t="str">
        <f>IFERROR(__xludf.DUMMYFUNCTION("""COMPUTED_VALUE"""),"양알등심")</f>
        <v>양알등심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 t="str">
        <f>IFERROR(__xludf.DUMMYFUNCTION("""COMPUTED_VALUE"""),"양앞다리")</f>
        <v>양앞다리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 t="str">
        <f>IFERROR(__xludf.DUMMYFUNCTION("""COMPUTED_VALUE"""),"양앞사태")</f>
        <v>양앞사태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 t="str">
        <f>IFERROR(__xludf.DUMMYFUNCTION("""COMPUTED_VALUE"""),"양어깨롤")</f>
        <v>양어깨롤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 t="str">
        <f>IFERROR(__xludf.DUMMYFUNCTION("""COMPUTED_VALUE"""),"양어깨사각갈비")</f>
        <v>양어깨사각갈비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 t="str">
        <f>IFERROR(__xludf.DUMMYFUNCTION("""COMPUTED_VALUE"""),"양어깨살")</f>
        <v>양어깨살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 t="str">
        <f>IFERROR(__xludf.DUMMYFUNCTION("""COMPUTED_VALUE"""),"양업진살")</f>
        <v>양업진살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 t="str">
        <f>IFERROR(__xludf.DUMMYFUNCTION("""COMPUTED_VALUE"""),"양업진안살")</f>
        <v>양업진안살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 t="str">
        <f>IFERROR(__xludf.DUMMYFUNCTION("""COMPUTED_VALUE"""),"양잡육")</f>
        <v>양잡육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 t="str">
        <f>IFERROR(__xludf.DUMMYFUNCTION("""COMPUTED_VALUE"""),"양정육")</f>
        <v>양정육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 t="str">
        <f>IFERROR(__xludf.DUMMYFUNCTION("""COMPUTED_VALUE"""),"양지갈비")</f>
        <v>양지갈비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 t="str">
        <f>IFERROR(__xludf.DUMMYFUNCTION("""COMPUTED_VALUE"""),"양지갈비뼈")</f>
        <v>양지갈비뼈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 t="str">
        <f>IFERROR(__xludf.DUMMYFUNCTION("""COMPUTED_VALUE"""),"양지늑간")</f>
        <v>양지늑간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 t="str">
        <f>IFERROR(__xludf.DUMMYFUNCTION("""COMPUTED_VALUE"""),"양지등갈비")</f>
        <v>양지등갈비</v>
      </c>
      <c r="B204" s="1" t="str">
        <f>IFERROR(__xludf.DUMMYFUNCTION("""COMPUTED_VALUE"""),"양지백립")</f>
        <v>양지백립</v>
      </c>
      <c r="C204" s="1" t="str">
        <f>IFERROR(__xludf.DUMMYFUNCTION("""COMPUTED_VALUE"""),"양지빽립")</f>
        <v>양지빽립</v>
      </c>
      <c r="D204" s="1" t="str">
        <f>IFERROR(__xludf.DUMMYFUNCTION("""COMPUTED_VALUE"""),"양지뺵립")</f>
        <v>양지뺵립</v>
      </c>
      <c r="E204" s="1" t="str">
        <f>IFERROR(__xludf.DUMMYFUNCTION("""COMPUTED_VALUE"""),"양지탕갈비")</f>
        <v>양지탕갈비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 t="str">
        <f>IFERROR(__xludf.DUMMYFUNCTION("""COMPUTED_VALUE"""),"양지머리")</f>
        <v>양지머리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 t="str">
        <f>IFERROR(__xludf.DUMMYFUNCTION("""COMPUTED_VALUE"""),"양지안창")</f>
        <v>양지안창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 t="str">
        <f>IFERROR(__xludf.DUMMYFUNCTION("""COMPUTED_VALUE"""),"양캡")</f>
        <v>양캡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 t="str">
        <f>IFERROR(__xludf.DUMMYFUNCTION("""COMPUTED_VALUE"""),"양트렁크")</f>
        <v>양트렁크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 t="str">
        <f>IFERROR(__xludf.DUMMYFUNCTION("""COMPUTED_VALUE"""),"양프랜치랙")</f>
        <v>양프랜치랙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 t="str">
        <f>IFERROR(__xludf.DUMMYFUNCTION("""COMPUTED_VALUE"""),"양플랩")</f>
        <v>양플랩</v>
      </c>
      <c r="B210" s="1" t="str">
        <f>IFERROR(__xludf.DUMMYFUNCTION("""COMPUTED_VALUE"""),"치마살")</f>
        <v>치마살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 t="str">
        <f>IFERROR(__xludf.DUMMYFUNCTION("""COMPUTED_VALUE"""),"어깨안심")</f>
        <v>어깨안심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 t="str">
        <f>IFERROR(__xludf.DUMMYFUNCTION("""COMPUTED_VALUE"""),"업진살")</f>
        <v>업진살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 t="str">
        <f>IFERROR(__xludf.DUMMYFUNCTION("""COMPUTED_VALUE"""),"업진안살")</f>
        <v>업진안살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 t="str">
        <f>IFERROR(__xludf.DUMMYFUNCTION("""COMPUTED_VALUE"""),"염소")</f>
        <v>염소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 t="str">
        <f>IFERROR(__xludf.DUMMYFUNCTION("""COMPUTED_VALUE"""),"염소정육")</f>
        <v>염소정육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 t="str">
        <f>IFERROR(__xludf.DUMMYFUNCTION("""COMPUTED_VALUE"""),"염통")</f>
        <v>염통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 t="str">
        <f>IFERROR(__xludf.DUMMYFUNCTION("""COMPUTED_VALUE"""),"옆추리삼겹")</f>
        <v>옆추리삼겹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 t="str">
        <f>IFERROR(__xludf.DUMMYFUNCTION("""COMPUTED_VALUE"""),"오픈대창")</f>
        <v>오픈대창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 t="str">
        <f>IFERROR(__xludf.DUMMYFUNCTION("""COMPUTED_VALUE"""),"우건")</f>
        <v>우건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 t="str">
        <f>IFERROR(__xludf.DUMMYFUNCTION("""COMPUTED_VALUE"""),"우둔")</f>
        <v>우둔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 t="str">
        <f>IFERROR(__xludf.DUMMYFUNCTION("""COMPUTED_VALUE"""),"우목뼈")</f>
        <v>우목뼈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 t="str">
        <f>IFERROR(__xludf.DUMMYFUNCTION("""COMPUTED_VALUE"""),"우설")</f>
        <v>우설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 t="str">
        <f>IFERROR(__xludf.DUMMYFUNCTION("""COMPUTED_VALUE"""),"우신")</f>
        <v>우신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 t="str">
        <f>IFERROR(__xludf.DUMMYFUNCTION("""COMPUTED_VALUE"""),"우전각")</f>
        <v>우전각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 t="str">
        <f>IFERROR(__xludf.DUMMYFUNCTION("""COMPUTED_VALUE"""),"우족")</f>
        <v>우족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 t="str">
        <f>IFERROR(__xludf.DUMMYFUNCTION("""COMPUTED_VALUE"""),"우지방")</f>
        <v>우지방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 t="str">
        <f>IFERROR(__xludf.DUMMYFUNCTION("""COMPUTED_VALUE"""),"윗등심")</f>
        <v>윗등심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 t="str">
        <f>IFERROR(__xludf.DUMMYFUNCTION("""COMPUTED_VALUE"""),"이겹살")</f>
        <v>이겹살</v>
      </c>
      <c r="B228" s="1" t="str">
        <f>IFERROR(__xludf.DUMMYFUNCTION("""COMPUTED_VALUE"""),"베이컨삼겹")</f>
        <v>베이컨삼겹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 t="str">
        <f>IFERROR(__xludf.DUMMYFUNCTION("""COMPUTED_VALUE"""),"자숙곱창")</f>
        <v>자숙곱창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 t="str">
        <f>IFERROR(__xludf.DUMMYFUNCTION("""COMPUTED_VALUE"""),"자숙대창")</f>
        <v>자숙대창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 t="str">
        <f>IFERROR(__xludf.DUMMYFUNCTION("""COMPUTED_VALUE"""),"자숙홍창")</f>
        <v>자숙홍창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 t="str">
        <f>IFERROR(__xludf.DUMMYFUNCTION("""COMPUTED_VALUE"""),"잡뼈")</f>
        <v>잡뼈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 t="str">
        <f>IFERROR(__xludf.DUMMYFUNCTION("""COMPUTED_VALUE"""),"잡육")</f>
        <v>잡육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 t="str">
        <f>IFERROR(__xludf.DUMMYFUNCTION("""COMPUTED_VALUE"""),"장각닭정육")</f>
        <v>장각닭정육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 t="str">
        <f>IFERROR(__xludf.DUMMYFUNCTION("""COMPUTED_VALUE"""),"장족")</f>
        <v>장족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 t="str">
        <f>IFERROR(__xludf.DUMMYFUNCTION("""COMPUTED_VALUE"""),"전각")</f>
        <v>전각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 t="str">
        <f>IFERROR(__xludf.DUMMYFUNCTION("""COMPUTED_VALUE"""),"전지")</f>
        <v>전지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 t="str">
        <f>IFERROR(__xludf.DUMMYFUNCTION("""COMPUTED_VALUE"""),"절단갈비")</f>
        <v>절단갈비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 t="str">
        <f>IFERROR(__xludf.DUMMYFUNCTION("""COMPUTED_VALUE"""),"절단꼬리")</f>
        <v>절단꼬리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 t="str">
        <f>IFERROR(__xludf.DUMMYFUNCTION("""COMPUTED_VALUE"""),"절단목뼈")</f>
        <v>절단목뼈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 t="str">
        <f>IFERROR(__xludf.DUMMYFUNCTION("""COMPUTED_VALUE"""),"절단우족")</f>
        <v>절단우족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 t="str">
        <f>IFERROR(__xludf.DUMMYFUNCTION("""COMPUTED_VALUE"""),"정각")</f>
        <v>정각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 t="str">
        <f>IFERROR(__xludf.DUMMYFUNCTION("""COMPUTED_VALUE"""),"정선살치")</f>
        <v>정선살치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 t="str">
        <f>IFERROR(__xludf.DUMMYFUNCTION("""COMPUTED_VALUE"""),"정선삼겹양지")</f>
        <v>정선삼겹양지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 t="str">
        <f>IFERROR(__xludf.DUMMYFUNCTION("""COMPUTED_VALUE"""),"정선알목심")</f>
        <v>정선알목심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 t="str">
        <f>IFERROR(__xludf.DUMMYFUNCTION("""COMPUTED_VALUE"""),"제비추리")</f>
        <v>제비추리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 t="str">
        <f>IFERROR(__xludf.DUMMYFUNCTION("""COMPUTED_VALUE"""),"조각갈비")</f>
        <v>조각갈비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 t="str">
        <f>IFERROR(__xludf.DUMMYFUNCTION("""COMPUTED_VALUE"""),"조각늑간")</f>
        <v>조각늑간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 t="str">
        <f>IFERROR(__xludf.DUMMYFUNCTION("""COMPUTED_VALUE"""),"조각대창")</f>
        <v>조각대창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 t="str">
        <f>IFERROR(__xludf.DUMMYFUNCTION("""COMPUTED_VALUE"""),"조각등갈비")</f>
        <v>조각등갈비</v>
      </c>
      <c r="B250" s="1" t="str">
        <f>IFERROR(__xludf.DUMMYFUNCTION("""COMPUTED_VALUE"""),"조각백립")</f>
        <v>조각백립</v>
      </c>
      <c r="C250" s="1" t="str">
        <f>IFERROR(__xludf.DUMMYFUNCTION("""COMPUTED_VALUE"""),"조각빽립")</f>
        <v>조각빽립</v>
      </c>
      <c r="D250" s="1" t="str">
        <f>IFERROR(__xludf.DUMMYFUNCTION("""COMPUTED_VALUE"""),"조각뺵립")</f>
        <v>조각뺵립</v>
      </c>
      <c r="E250" s="1" t="str">
        <f>IFERROR(__xludf.DUMMYFUNCTION("""COMPUTED_VALUE"""),"조각탕갈비")</f>
        <v>조각탕갈비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 t="str">
        <f>IFERROR(__xludf.DUMMYFUNCTION("""COMPUTED_VALUE"""),"조각머릿고기")</f>
        <v>조각머릿고기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 t="str">
        <f>IFERROR(__xludf.DUMMYFUNCTION("""COMPUTED_VALUE"""),"조각삼겹양지")</f>
        <v>조각삼겹양지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 t="str">
        <f>IFERROR(__xludf.DUMMYFUNCTION("""COMPUTED_VALUE"""),"조각안창")</f>
        <v>조각안창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 t="str">
        <f>IFERROR(__xludf.DUMMYFUNCTION("""COMPUTED_VALUE"""),"조각탕갈비")</f>
        <v>조각탕갈비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 t="str">
        <f>IFERROR(__xludf.DUMMYFUNCTION("""COMPUTED_VALUE"""),"조각토시")</f>
        <v>조각토시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 t="str">
        <f>IFERROR(__xludf.DUMMYFUNCTION("""COMPUTED_VALUE"""),"지방")</f>
        <v>지방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 t="str">
        <f>IFERROR(__xludf.DUMMYFUNCTION("""COMPUTED_VALUE"""),"진갈비")</f>
        <v>진갈비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 t="str">
        <f>IFERROR(__xludf.DUMMYFUNCTION("""COMPUTED_VALUE"""),"차돌박이")</f>
        <v>차돌박이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 t="str">
        <f>IFERROR(__xludf.DUMMYFUNCTION("""COMPUTED_VALUE"""),"차돌양지")</f>
        <v>차돌양지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 t="str">
        <f>IFERROR(__xludf.DUMMYFUNCTION("""COMPUTED_VALUE"""),"채끝")</f>
        <v>채끝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 t="str">
        <f>IFERROR(__xludf.DUMMYFUNCTION("""COMPUTED_VALUE"""),"채끝등심")</f>
        <v>채끝등심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 t="str">
        <f>IFERROR(__xludf.DUMMYFUNCTION("""COMPUTED_VALUE"""),"척갈비")</f>
        <v>척갈비</v>
      </c>
      <c r="B262" s="1" t="str">
        <f>IFERROR(__xludf.DUMMYFUNCTION("""COMPUTED_VALUE"""),"본갈비")</f>
        <v>본갈비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 t="str">
        <f>IFERROR(__xludf.DUMMYFUNCTION("""COMPUTED_VALUE"""),"척늑간")</f>
        <v>척늑간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 t="str">
        <f>IFERROR(__xludf.DUMMYFUNCTION("""COMPUTED_VALUE"""),"척등갈비")</f>
        <v>척등갈비</v>
      </c>
      <c r="B264" s="1" t="str">
        <f>IFERROR(__xludf.DUMMYFUNCTION("""COMPUTED_VALUE"""),"척백립")</f>
        <v>척백립</v>
      </c>
      <c r="C264" s="1" t="str">
        <f>IFERROR(__xludf.DUMMYFUNCTION("""COMPUTED_VALUE"""),"척빽립")</f>
        <v>척빽립</v>
      </c>
      <c r="D264" s="1" t="str">
        <f>IFERROR(__xludf.DUMMYFUNCTION("""COMPUTED_VALUE"""),"척탕갈비")</f>
        <v>척탕갈비</v>
      </c>
      <c r="E264" s="1" t="str">
        <f>IFERROR(__xludf.DUMMYFUNCTION("""COMPUTED_VALUE"""),"척뺵립")</f>
        <v>척뺵립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 t="str">
        <f>IFERROR(__xludf.DUMMYFUNCTION("""COMPUTED_VALUE"""),"척로스트")</f>
        <v>척로스트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 t="str">
        <f>IFERROR(__xludf.DUMMYFUNCTION("""COMPUTED_VALUE"""),"척리블렛")</f>
        <v>척리블렛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 t="str">
        <f>IFERROR(__xludf.DUMMYFUNCTION("""COMPUTED_VALUE"""),"척립")</f>
        <v>척립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 t="str">
        <f>IFERROR(__xludf.DUMMYFUNCTION("""COMPUTED_VALUE"""),"척립본")</f>
        <v>척립본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 t="str">
        <f>IFERROR(__xludf.DUMMYFUNCTION("""COMPUTED_VALUE"""),"척립엔드")</f>
        <v>척립엔드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 t="str">
        <f>IFERROR(__xludf.DUMMYFUNCTION("""COMPUTED_VALUE"""),"척사이드립")</f>
        <v>척사이드립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 t="str">
        <f>IFERROR(__xludf.DUMMYFUNCTION("""COMPUTED_VALUE"""),"척스페어립")</f>
        <v>척스페어립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 t="str">
        <f>IFERROR(__xludf.DUMMYFUNCTION("""COMPUTED_VALUE"""),"척아이로그")</f>
        <v>척아이로그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 t="str">
        <f>IFERROR(__xludf.DUMMYFUNCTION("""COMPUTED_VALUE"""),"치마")</f>
        <v>치마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 t="str">
        <f>IFERROR(__xludf.DUMMYFUNCTION("""COMPUTED_VALUE"""),"치마양지")</f>
        <v>치마양지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 t="str">
        <f>IFERROR(__xludf.DUMMYFUNCTION("""COMPUTED_VALUE"""),"카우보이립")</f>
        <v>카우보이립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 t="str">
        <f>IFERROR(__xludf.DUMMYFUNCTION("""COMPUTED_VALUE"""),"큐브롤")</f>
        <v>큐브롤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 t="str">
        <f>IFERROR(__xludf.DUMMYFUNCTION("""COMPUTED_VALUE"""),"탑서로인")</f>
        <v>탑서로인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 t="str">
        <f>IFERROR(__xludf.DUMMYFUNCTION("""COMPUTED_VALUE"""),"토마호크")</f>
        <v>토마호크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 t="str">
        <f>IFERROR(__xludf.DUMMYFUNCTION("""COMPUTED_VALUE"""),"토시")</f>
        <v>토시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 t="str">
        <f>IFERROR(__xludf.DUMMYFUNCTION("""COMPUTED_VALUE"""),"통날개")</f>
        <v>통날개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 t="str">
        <f>IFERROR(__xludf.DUMMYFUNCTION("""COMPUTED_VALUE"""),"통우족")</f>
        <v>통우족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 t="str">
        <f>IFERROR(__xludf.DUMMYFUNCTION("""COMPUTED_VALUE"""),"트리밍")</f>
        <v>트리밍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 t="str">
        <f>IFERROR(__xludf.DUMMYFUNCTION("""COMPUTED_VALUE"""),"특양")</f>
        <v>특양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 t="str">
        <f>IFERROR(__xludf.DUMMYFUNCTION("""COMPUTED_VALUE"""),"티본")</f>
        <v>티본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 t="str">
        <f>IFERROR(__xludf.DUMMYFUNCTION("""COMPUTED_VALUE"""),"포쿼터")</f>
        <v>포쿼터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 t="str">
        <f>IFERROR(__xludf.DUMMYFUNCTION("""COMPUTED_VALUE"""),"포터하우스")</f>
        <v>포터하우스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 t="str">
        <f>IFERROR(__xludf.DUMMYFUNCTION("""COMPUTED_VALUE"""),"프레사")</f>
        <v>프레사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 t="str">
        <f>IFERROR(__xludf.DUMMYFUNCTION("""COMPUTED_VALUE"""),"플랭크")</f>
        <v>플랭크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 t="str">
        <f>IFERROR(__xludf.DUMMYFUNCTION("""COMPUTED_VALUE"""),"플루마")</f>
        <v>플루마</v>
      </c>
      <c r="B289" s="1" t="str">
        <f>IFERROR(__xludf.DUMMYFUNCTION("""COMPUTED_VALUE"""),"가브리살")</f>
        <v>가브리살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 t="str">
        <f>IFERROR(__xludf.DUMMYFUNCTION("""COMPUTED_VALUE"""),"피아노본")</f>
        <v>피아노본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 t="str">
        <f>IFERROR(__xludf.DUMMYFUNCTION("""COMPUTED_VALUE"""),"핑거립")</f>
        <v>핑거립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 t="str">
        <f>IFERROR(__xludf.DUMMYFUNCTION("""COMPUTED_VALUE"""),"하단홍창")</f>
        <v>하단홍창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 t="str">
        <f>IFERROR(__xludf.DUMMYFUNCTION("""COMPUTED_VALUE"""),"학본")</f>
        <v>학본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 t="str">
        <f>IFERROR(__xludf.DUMMYFUNCTION("""COMPUTED_VALUE"""),"학스지")</f>
        <v>학스지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 t="str">
        <f>IFERROR(__xludf.DUMMYFUNCTION("""COMPUTED_VALUE"""),"항정")</f>
        <v>항정</v>
      </c>
      <c r="B295" s="1" t="str">
        <f>IFERROR(__xludf.DUMMYFUNCTION("""COMPUTED_VALUE"""),"항정살")</f>
        <v>항정살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 t="str">
        <f>IFERROR(__xludf.DUMMYFUNCTION("""COMPUTED_VALUE"""),"헤드미트")</f>
        <v>헤드미트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 t="str">
        <f>IFERROR(__xludf.DUMMYFUNCTION("""COMPUTED_VALUE"""),"홍두깨")</f>
        <v>홍두깨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 t="str">
        <f>IFERROR(__xludf.DUMMYFUNCTION("""COMPUTED_VALUE"""),"홍창")</f>
        <v>홍창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 t="str">
        <f>IFERROR(__xludf.DUMMYFUNCTION("""COMPUTED_VALUE"""),"황제늑간")</f>
        <v>황제늑간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 t="str">
        <f>IFERROR(__xludf.DUMMYFUNCTION("""COMPUTED_VALUE"""),"후지")</f>
        <v>후지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 t="str">
        <f>IFERROR(__xludf.DUMMYFUNCTION("""COMPUTED_VALUE"""),"BBQ갈비")</f>
        <v>BBQ갈비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 t="str">
        <f>IFERROR(__xludf.DUMMYFUNCTION("""COMPUTED_VALUE"""),"BBQ등갈비")</f>
        <v>BBQ등갈비</v>
      </c>
      <c r="B302" s="1" t="str">
        <f>IFERROR(__xludf.DUMMYFUNCTION("""COMPUTED_VALUE"""),"bbq백립")</f>
        <v>bbq백립</v>
      </c>
      <c r="C302" s="1" t="str">
        <f>IFERROR(__xludf.DUMMYFUNCTION("""COMPUTED_VALUE"""),"bbq빽립")</f>
        <v>bbq빽립</v>
      </c>
      <c r="D302" s="1" t="str">
        <f>IFERROR(__xludf.DUMMYFUNCTION("""COMPUTED_VALUE"""),"bbq탕갈비")</f>
        <v>bbq탕갈비</v>
      </c>
      <c r="E302" s="1" t="str">
        <f>IFERROR(__xludf.DUMMYFUNCTION("""COMPUTED_VALUE"""),"bbq뺵립")</f>
        <v>bbq뺵립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 t="str">
        <f>IFERROR(__xludf.DUMMYFUNCTION("""COMPUTED_VALUE"""),"BBQ리블렛")</f>
        <v>BBQ리블렛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 t="str">
        <f>IFERROR(__xludf.DUMMYFUNCTION("""COMPUTED_VALUE"""),"BBQ립")</f>
        <v>BBQ립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 t="str">
        <f>IFERROR(__xludf.DUMMYFUNCTION("""COMPUTED_VALUE"""),"BBQ척갈비")</f>
        <v>BBQ척갈비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 t="str">
        <f>IFERROR(__xludf.DUMMYFUNCTION("""COMPUTED_VALUE"""),"BBQ척스페어립")</f>
        <v>BBQ척스페어립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 t="str">
        <f>IFERROR(__xludf.DUMMYFUNCTION("""COMPUTED_VALUE"""),"품목명")</f>
        <v>품목명</v>
      </c>
      <c r="G309" s="1" t="str">
        <f>IFERROR(__xludf.DUMMYFUNCTION("""COMPUTED_VALUE"""),"브랜드")</f>
        <v>브랜드</v>
      </c>
      <c r="H309" s="1" t="str">
        <f>IFERROR(__xludf.DUMMYFUNCTION("""COMPUTED_VALUE"""),"창고")</f>
        <v>창고</v>
      </c>
      <c r="I309" s="1" t="str">
        <f>IFERROR(__xludf.DUMMYFUNCTION("""COMPUTED_VALUE"""),"원산지")</f>
        <v>원산지</v>
      </c>
      <c r="J309" s="1" t="str">
        <f>IFERROR(__xludf.DUMMYFUNCTION("""COMPUTED_VALUE"""),"축종")</f>
        <v>축종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 t="str">
        <f>IFERROR(__xludf.DUMMYFUNCTION("""COMPUTED_VALUE"""),"BBQ척스페어립")</f>
        <v>BBQ척스페어립</v>
      </c>
      <c r="G310" s="1" t="str">
        <f>IFERROR(__xludf.DUMMYFUNCTION("""COMPUTED_VALUE"""),"GOLDSCHUMACHER")</f>
        <v>GOLDSCHUMACHER</v>
      </c>
      <c r="H310" s="1" t="str">
        <f>IFERROR(__xludf.DUMMYFUNCTION("""COMPUTED_VALUE"""),"베이지박스투")</f>
        <v>베이지박스투</v>
      </c>
      <c r="I310" s="1" t="str">
        <f>IFERROR(__xludf.DUMMYFUNCTION("""COMPUTED_VALUE"""),"오스트리아")</f>
        <v>오스트리아</v>
      </c>
      <c r="J310" s="1" t="str">
        <f>IFERROR(__xludf.DUMMYFUNCTION("""COMPUTED_VALUE"""),"흑염소")</f>
        <v>흑염소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IFERROR(__xludf.DUMMYFUNCTION("importrange(""https://docs.google.com/spreadsheets/d/1URPJEvx8LJZ_LybIiNvokUSP2e3zsyEJx9w9RDDA-lI/edit"",""[최종]창고명_한글사용!$A$2:$Z"")"),"강동1")</f>
        <v>강동1</v>
      </c>
      <c r="B1" s="1" t="str">
        <f>IFERROR(__xludf.DUMMYFUNCTION("""COMPUTED_VALUE"""),"강1")</f>
        <v>강1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tr">
        <f>IFERROR(__xludf.DUMMYFUNCTION("""COMPUTED_VALUE"""),"강동2")</f>
        <v>강동2</v>
      </c>
      <c r="B2" s="1" t="str">
        <f>IFERROR(__xludf.DUMMYFUNCTION("""COMPUTED_VALUE"""),"강2")</f>
        <v>강2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tr">
        <f>IFERROR(__xludf.DUMMYFUNCTION("""COMPUTED_VALUE"""),"견우")</f>
        <v>견우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tr">
        <f>IFERROR(__xludf.DUMMYFUNCTION("""COMPUTED_VALUE"""),"경인")</f>
        <v>경인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tr">
        <f>IFERROR(__xludf.DUMMYFUNCTION("""COMPUTED_VALUE"""),"고려")</f>
        <v>고려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tr">
        <f>IFERROR(__xludf.DUMMYFUNCTION("""COMPUTED_VALUE"""),"남사")</f>
        <v>남사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tr">
        <f>IFERROR(__xludf.DUMMYFUNCTION("""COMPUTED_VALUE"""),"대재")</f>
        <v>대재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tr">
        <f>IFERROR(__xludf.DUMMYFUNCTION("""COMPUTED_VALUE"""),"동원이천")</f>
        <v>동원이천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tr">
        <f>IFERROR(__xludf.DUMMYFUNCTION("""COMPUTED_VALUE"""),"동일")</f>
        <v>동일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tr">
        <f>IFERROR(__xludf.DUMMYFUNCTION("""COMPUTED_VALUE"""),"동일(부산)")</f>
        <v>동일(부산)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tr">
        <f>IFERROR(__xludf.DUMMYFUNCTION("""COMPUTED_VALUE"""),"로얄")</f>
        <v>로얄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tr">
        <f>IFERROR(__xludf.DUMMYFUNCTION("""COMPUTED_VALUE"""),"롯데이천")</f>
        <v>롯데이천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tr">
        <f>IFERROR(__xludf.DUMMYFUNCTION("""COMPUTED_VALUE"""),"마장동")</f>
        <v>마장동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tr">
        <f>IFERROR(__xludf.DUMMYFUNCTION("""COMPUTED_VALUE"""),"미빙")</f>
        <v>미빙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tr">
        <f>IFERROR(__xludf.DUMMYFUNCTION("""COMPUTED_VALUE"""),"베이지박스투")</f>
        <v>베이지박스투</v>
      </c>
      <c r="B15" s="1" t="str">
        <f>IFERROR(__xludf.DUMMYFUNCTION("""COMPUTED_VALUE"""),"요진")</f>
        <v>요진</v>
      </c>
      <c r="C15" s="1" t="str">
        <f>IFERROR(__xludf.DUMMYFUNCTION("""COMPUTED_VALUE"""),"요진TF")</f>
        <v>요진TF</v>
      </c>
      <c r="D15" s="1" t="str">
        <f>IFERROR(__xludf.DUMMYFUNCTION("""COMPUTED_VALUE"""),"bb2")</f>
        <v>bb2</v>
      </c>
      <c r="E15" s="1" t="str">
        <f>IFERROR(__xludf.DUMMYFUNCTION("""COMPUTED_VALUE"""),"BB2")</f>
        <v>BB2</v>
      </c>
      <c r="F15" s="1" t="str">
        <f>IFERROR(__xludf.DUMMYFUNCTION("""COMPUTED_VALUE"""),"요진tf")</f>
        <v>요진tf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tr">
        <f>IFERROR(__xludf.DUMMYFUNCTION("""COMPUTED_VALUE"""),"사조독산")</f>
        <v>사조독산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tr">
        <f>IFERROR(__xludf.DUMMYFUNCTION("""COMPUTED_VALUE"""),"삼일")</f>
        <v>삼일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tr">
        <f>IFERROR(__xludf.DUMMYFUNCTION("""COMPUTED_VALUE"""),"삼일(부산)")</f>
        <v>삼일(부산)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tr">
        <f>IFERROR(__xludf.DUMMYFUNCTION("""COMPUTED_VALUE"""),"삼진1")</f>
        <v>삼진1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tr">
        <f>IFERROR(__xludf.DUMMYFUNCTION("""COMPUTED_VALUE"""),"삼진2")</f>
        <v>삼진2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tr">
        <f>IFERROR(__xludf.DUMMYFUNCTION("""COMPUTED_VALUE"""),"새영기업")</f>
        <v>새영기업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tr">
        <f>IFERROR(__xludf.DUMMYFUNCTION("""COMPUTED_VALUE"""),"세중")</f>
        <v>세중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tr">
        <f>IFERROR(__xludf.DUMMYFUNCTION("""COMPUTED_VALUE"""),"신우")</f>
        <v>신우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tr">
        <f>IFERROR(__xludf.DUMMYFUNCTION("""COMPUTED_VALUE"""),"아워홈")</f>
        <v>아워홈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tr">
        <f>IFERROR(__xludf.DUMMYFUNCTION("""COMPUTED_VALUE"""),"아이린")</f>
        <v>아이린</v>
      </c>
      <c r="B25" s="1" t="str">
        <f>IFERROR(__xludf.DUMMYFUNCTION("""COMPUTED_VALUE"""),"양지선일")</f>
        <v>양지선일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tr">
        <f>IFERROR(__xludf.DUMMYFUNCTION("""COMPUTED_VALUE"""),"ACE 기흥")</f>
        <v>ACE 기흥</v>
      </c>
      <c r="B26" s="1" t="str">
        <f>IFERROR(__xludf.DUMMYFUNCTION("""COMPUTED_VALUE"""),"에이스기흥")</f>
        <v>에이스기흥</v>
      </c>
      <c r="C26" s="1" t="str">
        <f>IFERROR(__xludf.DUMMYFUNCTION("""COMPUTED_VALUE"""),"애이스기흥")</f>
        <v>애이스기흥</v>
      </c>
      <c r="D26" s="1" t="str">
        <f>IFERROR(__xludf.DUMMYFUNCTION("""COMPUTED_VALUE"""),"아주기흥")</f>
        <v>아주기흥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tr">
        <f>IFERROR(__xludf.DUMMYFUNCTION("""COMPUTED_VALUE"""),"ACE 용인")</f>
        <v>ACE 용인</v>
      </c>
      <c r="B27" s="1" t="str">
        <f>IFERROR(__xludf.DUMMYFUNCTION("""COMPUTED_VALUE"""),"에이스용인")</f>
        <v>에이스용인</v>
      </c>
      <c r="C27" s="1" t="str">
        <f>IFERROR(__xludf.DUMMYFUNCTION("""COMPUTED_VALUE"""),"애이스용인")</f>
        <v>애이스용인</v>
      </c>
      <c r="D27" s="1" t="str">
        <f>IFERROR(__xludf.DUMMYFUNCTION("""COMPUTED_VALUE"""),"아주용인")</f>
        <v>아주용인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tr">
        <f>IFERROR(__xludf.DUMMYFUNCTION("""COMPUTED_VALUE"""),"ACE 처인")</f>
        <v>ACE 처인</v>
      </c>
      <c r="B28" s="1" t="str">
        <f>IFERROR(__xludf.DUMMYFUNCTION("""COMPUTED_VALUE"""),"에이스처인")</f>
        <v>에이스처인</v>
      </c>
      <c r="C28" s="1" t="str">
        <f>IFERROR(__xludf.DUMMYFUNCTION("""COMPUTED_VALUE"""),"애이스처인")</f>
        <v>애이스처인</v>
      </c>
      <c r="D28" s="1" t="str">
        <f>IFERROR(__xludf.DUMMYFUNCTION("""COMPUTED_VALUE"""),"아주처인")</f>
        <v>아주처인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tr">
        <f>IFERROR(__xludf.DUMMYFUNCTION("""COMPUTED_VALUE"""),"연세")</f>
        <v>연세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tr">
        <f>IFERROR(__xludf.DUMMYFUNCTION("""COMPUTED_VALUE"""),"오로라")</f>
        <v>오로라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tr">
        <f>IFERROR(__xludf.DUMMYFUNCTION("""COMPUTED_VALUE"""),"오아시스")</f>
        <v>오아시스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tr">
        <f>IFERROR(__xludf.DUMMYFUNCTION("""COMPUTED_VALUE"""),"유림")</f>
        <v>유림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tr">
        <f>IFERROR(__xludf.DUMMYFUNCTION("""COMPUTED_VALUE"""),"유상")</f>
        <v>유상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tr">
        <f>IFERROR(__xludf.DUMMYFUNCTION("""COMPUTED_VALUE"""),"이스트벨리")</f>
        <v>이스트벨리</v>
      </c>
      <c r="B34" s="1" t="str">
        <f>IFERROR(__xludf.DUMMYFUNCTION("""COMPUTED_VALUE"""),"세미")</f>
        <v>세미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tr">
        <f>IFERROR(__xludf.DUMMYFUNCTION("""COMPUTED_VALUE"""),"일죽")</f>
        <v>일죽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tr">
        <f>IFERROR(__xludf.DUMMYFUNCTION("""COMPUTED_VALUE"""),"정양")</f>
        <v>정양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tr">
        <f>IFERROR(__xludf.DUMMYFUNCTION("""COMPUTED_VALUE"""),"제니스곤지암")</f>
        <v>제니스곤지암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tr">
        <f>IFERROR(__xludf.DUMMYFUNCTION("""COMPUTED_VALUE"""),"프라자")</f>
        <v>프라자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tr">
        <f>IFERROR(__xludf.DUMMYFUNCTION("""COMPUTED_VALUE"""),"효성")</f>
        <v>효성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tr">
        <f>IFERROR(__xludf.DUMMYFUNCTION("""COMPUTED_VALUE"""),"희창")</f>
        <v>희창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tr">
        <f>IFERROR(__xludf.DUMMYFUNCTION("""COMPUTED_VALUE"""),"CH")</f>
        <v>CH</v>
      </c>
      <c r="B41" s="1" t="str">
        <f>IFERROR(__xludf.DUMMYFUNCTION("""COMPUTED_VALUE"""),"씨에이치")</f>
        <v>씨에이치</v>
      </c>
      <c r="C41" s="1" t="str">
        <f>IFERROR(__xludf.DUMMYFUNCTION("""COMPUTED_VALUE"""),"씨애이치")</f>
        <v>씨애이치</v>
      </c>
      <c r="D41" s="1" t="str">
        <f>IFERROR(__xludf.DUMMYFUNCTION("""COMPUTED_VALUE"""),"시에이치")</f>
        <v>시에이치</v>
      </c>
      <c r="E41" s="1" t="str">
        <f>IFERROR(__xludf.DUMMYFUNCTION("""COMPUTED_VALUE"""),"시애이치")</f>
        <v>시애이치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tr">
        <f>IFERROR(__xludf.DUMMYFUNCTION("""COMPUTED_VALUE"""),"CS")</f>
        <v>CS</v>
      </c>
      <c r="B42" s="1" t="str">
        <f>IFERROR(__xludf.DUMMYFUNCTION("""COMPUTED_VALUE"""),"씨에스")</f>
        <v>씨에스</v>
      </c>
      <c r="C42" s="1" t="str">
        <f>IFERROR(__xludf.DUMMYFUNCTION("""COMPUTED_VALUE"""),"씨애스")</f>
        <v>씨애스</v>
      </c>
      <c r="D42" s="1" t="str">
        <f>IFERROR(__xludf.DUMMYFUNCTION("""COMPUTED_VALUE"""),"시에스")</f>
        <v>시에스</v>
      </c>
      <c r="E42" s="1" t="str">
        <f>IFERROR(__xludf.DUMMYFUNCTION("""COMPUTED_VALUE"""),"시애스")</f>
        <v>시애스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tr">
        <f>IFERROR(__xludf.DUMMYFUNCTION("""COMPUTED_VALUE"""),"HL 곤지암")</f>
        <v>HL 곤지암</v>
      </c>
      <c r="B43" s="1" t="str">
        <f>IFERROR(__xludf.DUMMYFUNCTION("""COMPUTED_VALUE"""),"한라곤지암")</f>
        <v>한라곤지암</v>
      </c>
      <c r="C43" s="1" t="str">
        <f>IFERROR(__xludf.DUMMYFUNCTION("""COMPUTED_VALUE"""),"JWL")</f>
        <v>JWL</v>
      </c>
      <c r="D43" s="1" t="str">
        <f>IFERROR(__xludf.DUMMYFUNCTION("""COMPUTED_VALUE"""),"jwl")</f>
        <v>jwl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tr">
        <f>IFERROR(__xludf.DUMMYFUNCTION("""COMPUTED_VALUE"""),"HL 동탄")</f>
        <v>HL 동탄</v>
      </c>
      <c r="B44" s="1" t="str">
        <f>IFERROR(__xludf.DUMMYFUNCTION("""COMPUTED_VALUE"""),"한라동탄")</f>
        <v>한라동탄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tr">
        <f>IFERROR(__xludf.DUMMYFUNCTION("""COMPUTED_VALUE"""),"SWC")</f>
        <v>SWC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tr">
        <f>IFERROR(__xludf.DUMMYFUNCTION("""COMPUTED_VALUE"""),"매장")</f>
        <v>매장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tr">
        <f>IFERROR(__xludf.DUMMYFUNCTION("""COMPUTED_VALUE"""),"도지")</f>
        <v>도지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IFERROR(__xludf.DUMMYFUNCTION("importrange(""https://docs.google.com/spreadsheets/d/1URPJEvx8LJZ_LybIiNvokUSP2e3zsyEJx9w9RDDA-lI/edit"",""[최종]축종!$A$2:$Z"")"),"우육")</f>
        <v>우육</v>
      </c>
      <c r="B1" s="1" t="str">
        <f>IFERROR(__xludf.DUMMYFUNCTION("""COMPUTED_VALUE"""),"소")</f>
        <v>소</v>
      </c>
      <c r="C1" s="1" t="str">
        <f>IFERROR(__xludf.DUMMYFUNCTION("""COMPUTED_VALUE"""),"소고기")</f>
        <v>소고기</v>
      </c>
      <c r="D1" s="1" t="str">
        <f>IFERROR(__xludf.DUMMYFUNCTION("""COMPUTED_VALUE"""),"쇠고기")</f>
        <v>쇠고기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tr">
        <f>IFERROR(__xludf.DUMMYFUNCTION("""COMPUTED_VALUE"""),"돈육")</f>
        <v>돈육</v>
      </c>
      <c r="B2" s="1" t="str">
        <f>IFERROR(__xludf.DUMMYFUNCTION("""COMPUTED_VALUE"""),"돼지")</f>
        <v>돼지</v>
      </c>
      <c r="C2" s="1" t="str">
        <f>IFERROR(__xludf.DUMMYFUNCTION("""COMPUTED_VALUE"""),"돼지고기")</f>
        <v>돼지고기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tr">
        <f>IFERROR(__xludf.DUMMYFUNCTION("""COMPUTED_VALUE"""),"양육")</f>
        <v>양육</v>
      </c>
      <c r="B3" s="1" t="str">
        <f>IFERROR(__xludf.DUMMYFUNCTION("""COMPUTED_VALUE"""),"양고기")</f>
        <v>양고기</v>
      </c>
      <c r="C3" s="1" t="str">
        <f>IFERROR(__xludf.DUMMYFUNCTION("""COMPUTED_VALUE"""),"양")</f>
        <v>양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tr">
        <f>IFERROR(__xludf.DUMMYFUNCTION("""COMPUTED_VALUE"""),"계육")</f>
        <v>계육</v>
      </c>
      <c r="B4" s="1" t="str">
        <f>IFERROR(__xludf.DUMMYFUNCTION("""COMPUTED_VALUE"""),"닭")</f>
        <v>닭</v>
      </c>
      <c r="C4" s="1" t="str">
        <f>IFERROR(__xludf.DUMMYFUNCTION("""COMPUTED_VALUE"""),"닭고기")</f>
        <v>닭고기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tr">
        <f>IFERROR(__xludf.DUMMYFUNCTION("""COMPUTED_VALUE"""),"오리")</f>
        <v>오리</v>
      </c>
      <c r="B5" s="1" t="str">
        <f>IFERROR(__xludf.DUMMYFUNCTION("""COMPUTED_VALUE"""),"오리고기")</f>
        <v>오리고기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tr">
        <f>IFERROR(__xludf.DUMMYFUNCTION("""COMPUTED_VALUE"""),"염소")</f>
        <v>염소</v>
      </c>
      <c r="B6" s="1" t="str">
        <f>IFERROR(__xludf.DUMMYFUNCTION("""COMPUTED_VALUE"""),"염소고기")</f>
        <v>염소고기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tr">
        <f>IFERROR(__xludf.DUMMYFUNCTION("""COMPUTED_VALUE"""),"흑염소")</f>
        <v>흑염소</v>
      </c>
      <c r="B7" s="1" t="str">
        <f>IFERROR(__xludf.DUMMYFUNCTION("""COMPUTED_VALUE"""),"흑염소고기")</f>
        <v>흑염소고기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